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Transition Roadmap" sheetId="3" state="visible" r:id="rId5"/>
    <sheet name="Scope Assessment" sheetId="4" state="visible" r:id="rId6"/>
    <sheet name="Location Analysis" sheetId="5" state="visible" r:id="rId7"/>
    <sheet name="KPI Scorecard" sheetId="6" state="visible" r:id="rId8"/>
    <sheet name="Lists" sheetId="7" state="hidden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<sst xmlns="http://schemas.openxmlformats.org/spreadsheetml/2006/main" count="194" uniqueCount="173">
  <si>
    <t xml:space="preserve">ClearLedger Advisory</t>
  </si>
  <si>
    <t xml:space="preserve">SSC Transition</t>
  </si>
  <si>
    <t xml:space="preserve">Guide</t>
  </si>
  <si>
    <t xml:space="preserve">TOOLKIT 2.0  ·  PROCESS OPTIMIZATION SERIES</t>
  </si>
  <si>
    <t xml:space="preserve">APQC PCF v8.0 aligned  ·  Templates · Frameworks · Benchmarks</t>
  </si>
  <si>
    <t xml:space="preserve">  DOCUMENT INFORMATION</t>
  </si>
  <si>
    <t xml:space="preserve">Prepared for</t>
  </si>
  <si>
    <t xml:space="preserve">[Client Name]</t>
  </si>
  <si>
    <t xml:space="preserve">Prepared by</t>
  </si>
  <si>
    <t xml:space="preserve">[Consultant Name]</t>
  </si>
  <si>
    <t xml:space="preserve">Engagement date</t>
  </si>
  <si>
    <t xml:space="preserve">[Date]</t>
  </si>
  <si>
    <t xml:space="preserve">Version</t>
  </si>
  <si>
    <t xml:space="preserve">1.0</t>
  </si>
  <si>
    <t xml:space="preserve">License</t>
  </si>
  <si>
    <t xml:space="preserve">Single-entity commercial license</t>
  </si>
  <si>
    <t xml:space="preserve">  WHAT'S INSIDE</t>
  </si>
  <si>
    <t xml:space="preserve">Shared-services transition framework: phased roadmap, scope assessment, location analysis, and KPI scorecard for migrating OtC processes to an SSC/GBS model.</t>
  </si>
  <si>
    <t xml:space="preserve">  CONTENTS</t>
  </si>
  <si>
    <t xml:space="preserve">01</t>
  </si>
  <si>
    <t xml:space="preserve">Transition Roadmap</t>
  </si>
  <si>
    <t xml:space="preserve">02</t>
  </si>
  <si>
    <t xml:space="preserve">Scope Assessment</t>
  </si>
  <si>
    <t xml:space="preserve">03</t>
  </si>
  <si>
    <t xml:space="preserve">Location Analysis</t>
  </si>
  <si>
    <t xml:space="preserve">04</t>
  </si>
  <si>
    <t xml:space="preserve">KPI Scorecard</t>
  </si>
  <si>
    <t xml:space="preserve">KPIs · APQC v8.0 benchmarks · RAG status</t>
  </si>
  <si>
    <t xml:space="preserve">APQC PCF v8.0: Shared Services Transition</t>
  </si>
  <si>
    <t xml:space="preserve">How to Use This Pack</t>
  </si>
  <si>
    <t xml:space="preserve">Follow these steps from diagnostic to deployment</t>
  </si>
  <si>
    <t xml:space="preserve">Step 1</t>
  </si>
  <si>
    <t xml:space="preserve">Assess Scope</t>
  </si>
  <si>
    <t xml:space="preserve">Use Scope Assessment to determine what to transition.</t>
  </si>
  <si>
    <t xml:space="preserve">Step 2</t>
  </si>
  <si>
    <t xml:space="preserve">Select Location</t>
  </si>
  <si>
    <t xml:space="preserve">Use Location Analysis with weighted criteria.</t>
  </si>
  <si>
    <t xml:space="preserve">Step 3</t>
  </si>
  <si>
    <t xml:space="preserve">Plan Transition</t>
  </si>
  <si>
    <t xml:space="preserve">Use Transition Plan as your project roadmap.</t>
  </si>
  <si>
    <t xml:space="preserve">Step 4</t>
  </si>
  <si>
    <t xml:space="preserve">Set SLAs</t>
  </si>
  <si>
    <t xml:space="preserve">Define SLAs using the framework.</t>
  </si>
  <si>
    <t xml:space="preserve">  ▸ Blue cells are inputs you edit. Black values are formula-driven — do not overtype them.</t>
  </si>
  <si>
    <t xml:space="preserve">SSC Transition Roadmap — Phase 0 to 4</t>
  </si>
  <si>
    <t xml:space="preserve">End-to-end framework for OtC SSC transition</t>
  </si>
  <si>
    <t xml:space="preserve">Phase</t>
  </si>
  <si>
    <t xml:space="preserve">Duration</t>
  </si>
  <si>
    <t xml:space="preserve">Activities</t>
  </si>
  <si>
    <t xml:space="preserve">Deliverables</t>
  </si>
  <si>
    <t xml:space="preserve">Key Milestone</t>
  </si>
  <si>
    <t xml:space="preserve">0 — Assess</t>
  </si>
  <si>
    <t xml:space="preserve">4-6 wk</t>
  </si>
  <si>
    <t xml:space="preserve">Assess current state, benchmark, define scope, build business case</t>
  </si>
  <si>
    <t xml:space="preserve">Transition charter, business case, scope doc</t>
  </si>
  <si>
    <t xml:space="preserve">Gate 0 — Charter Approved</t>
  </si>
  <si>
    <t xml:space="preserve">1 — Design</t>
  </si>
  <si>
    <t xml:space="preserve">6-8 wk</t>
  </si>
  <si>
    <t xml:space="preserve">Design target process, select tech, build RACI, develop SLAs</t>
  </si>
  <si>
    <t xml:space="preserve">Process maps, tech stack, SLA definitions</t>
  </si>
  <si>
    <t xml:space="preserve">Gate 1 — Design Signed Off</t>
  </si>
  <si>
    <t xml:space="preserve">2 — Build</t>
  </si>
  <si>
    <t xml:space="preserve">8-12 wk</t>
  </si>
  <si>
    <t xml:space="preserve">Hire/transfer staff, configure systems, build KB, run pilots</t>
  </si>
  <si>
    <t xml:space="preserve">Staffed team, system ready, KB library</t>
  </si>
  <si>
    <t xml:space="preserve">Gate 2 — Pilot Complete</t>
  </si>
  <si>
    <t xml:space="preserve">3 — Cutover</t>
  </si>
  <si>
    <t xml:space="preserve">Cutover in waves, parallel run, exception handling</t>
  </si>
  <si>
    <t xml:space="preserve">Cutover plan, exception protocols</t>
  </si>
  <si>
    <t xml:space="preserve">Gate 3 — Cutover Complete</t>
  </si>
  <si>
    <t xml:space="preserve">4 — Stabilise</t>
  </si>
  <si>
    <t xml:space="preserve">Stabilisation, CI, KPI monitoring, governance setup</t>
  </si>
  <si>
    <t xml:space="preserve">Stabilisation report, CI roadmap</t>
  </si>
  <si>
    <t xml:space="preserve">Gate 4 — Steady State</t>
  </si>
  <si>
    <t xml:space="preserve">SSC Scope Assessment Matrix</t>
  </si>
  <si>
    <t xml:space="preserve">Score 1-5. Blue = editable.</t>
  </si>
  <si>
    <t xml:space="preserve">Sub-Process</t>
  </si>
  <si>
    <t xml:space="preserve">Complexity</t>
  </si>
  <si>
    <t xml:space="preserve">Volume</t>
  </si>
  <si>
    <t xml:space="preserve">Automation</t>
  </si>
  <si>
    <t xml:space="preserve">SSC Fit</t>
  </si>
  <si>
    <t xml:space="preserve">Score</t>
  </si>
  <si>
    <t xml:space="preserve">Rationale</t>
  </si>
  <si>
    <t xml:space="preserve">Cash App — Auto-Match</t>
  </si>
  <si>
    <t xml:space="preserve">High</t>
  </si>
  <si>
    <t xml:space="preserve">High volume, rules-based, low judgment</t>
  </si>
  <si>
    <t xml:space="preserve">Cash App — Exceptions</t>
  </si>
  <si>
    <t xml:space="preserve">Medium</t>
  </si>
  <si>
    <t xml:space="preserve">Requires analyst judgment</t>
  </si>
  <si>
    <t xml:space="preserve">Invoice Generation</t>
  </si>
  <si>
    <t xml:space="preserve">Fully automatable</t>
  </si>
  <si>
    <t xml:space="preserve">Invoice Delivery</t>
  </si>
  <si>
    <t xml:space="preserve">Auto via Peppol/EDI/portal</t>
  </si>
  <si>
    <t xml:space="preserve">Credit/Debit Memo</t>
  </si>
  <si>
    <t xml:space="preserve">Rule-based with approval workflow</t>
  </si>
  <si>
    <t xml:space="preserve">Credit Management</t>
  </si>
  <si>
    <t xml:space="preserve">Analytical but processable</t>
  </si>
  <si>
    <t xml:space="preserve">Collections — Auto Dunning</t>
  </si>
  <si>
    <t xml:space="preserve">Segmented auto-workflow</t>
  </si>
  <si>
    <t xml:space="preserve">Collections — High-touch</t>
  </si>
  <si>
    <t xml:space="preserve">Medium/Low</t>
  </si>
  <si>
    <t xml:space="preserve">Relationship-based</t>
  </si>
  <si>
    <t xml:space="preserve">Dispute Intake</t>
  </si>
  <si>
    <t xml:space="preserve">Auto triage via portal</t>
  </si>
  <si>
    <t xml:space="preserve">Dispute Investigation</t>
  </si>
  <si>
    <t xml:space="preserve">Requires knowledge base</t>
  </si>
  <si>
    <t xml:space="preserve">Dispute Resolution</t>
  </si>
  <si>
    <t xml:space="preserve">Low</t>
  </si>
  <si>
    <t xml:space="preserve">Judgment-intensive</t>
  </si>
  <si>
    <t xml:space="preserve">AR Reporting</t>
  </si>
  <si>
    <t xml:space="preserve">Automated dashboards</t>
  </si>
  <si>
    <t xml:space="preserve">Location Scoring Model</t>
  </si>
  <si>
    <t xml:space="preserve">Score 1-10. Blue = editable. Weighted total auto-calculated.</t>
  </si>
  <si>
    <t xml:space="preserve">Factor</t>
  </si>
  <si>
    <t xml:space="preserve">Weight</t>
  </si>
  <si>
    <t xml:space="preserve">Option 1</t>
  </si>
  <si>
    <t xml:space="preserve">Option 2</t>
  </si>
  <si>
    <t xml:space="preserve">Option 3</t>
  </si>
  <si>
    <t xml:space="preserve">Option 4</t>
  </si>
  <si>
    <t xml:space="preserve">W Score 1</t>
  </si>
  <si>
    <t xml:space="preserve">W Score 2</t>
  </si>
  <si>
    <t xml:space="preserve">Labour Cost</t>
  </si>
  <si>
    <t xml:space="preserve">Talent Availability</t>
  </si>
  <si>
    <t xml:space="preserve">Language Skills</t>
  </si>
  <si>
    <t xml:space="preserve">Infrastructure</t>
  </si>
  <si>
    <t xml:space="preserve">Time Zone Overlap</t>
  </si>
  <si>
    <t xml:space="preserve">Legal/Regulatory</t>
  </si>
  <si>
    <t xml:space="preserve">Business Climate</t>
  </si>
  <si>
    <t xml:space="preserve">Cultural Fit</t>
  </si>
  <si>
    <t xml:space="preserve">TOTAL</t>
  </si>
  <si>
    <t xml:space="preserve">KPI Scorecard — SSC Transition</t>
  </si>
  <si>
    <t xml:space="preserve">Blue = editable</t>
  </si>
  <si>
    <t xml:space="preserve">KPI</t>
  </si>
  <si>
    <t xml:space="preserve">Current</t>
  </si>
  <si>
    <t xml:space="preserve">Target</t>
  </si>
  <si>
    <t xml:space="preserve">Top</t>
  </si>
  <si>
    <t xml:space="preserve">Median</t>
  </si>
  <si>
    <t xml:space="preserve">Bottom</t>
  </si>
  <si>
    <t xml:space="preserve">Status</t>
  </si>
  <si>
    <t xml:space="preserve">APQC</t>
  </si>
  <si>
    <t xml:space="preserve">Definition</t>
  </si>
  <si>
    <t xml:space="preserve">Transition Timeline (months)</t>
  </si>
  <si>
    <t xml:space="preserve">4.2.1</t>
  </si>
  <si>
    <t xml:space="preserve">Assess to steady state</t>
  </si>
  <si>
    <t xml:space="preserve">Cost Savings Realised (%)</t>
  </si>
  <si>
    <t xml:space="preserve">4.2.2</t>
  </si>
  <si>
    <t xml:space="preserve">(Baseline - New) ÷ Baseline</t>
  </si>
  <si>
    <t xml:space="preserve">SLA Achievement (%)</t>
  </si>
  <si>
    <t xml:space="preserve">4.2.3</t>
  </si>
  <si>
    <t xml:space="preserve">SLAs met ÷ Total SLAs</t>
  </si>
  <si>
    <t xml:space="preserve">Knowledge Transfer (%)</t>
  </si>
  <si>
    <t xml:space="preserve">4.2.4</t>
  </si>
  <si>
    <t xml:space="preserve">KB documented ÷ Required</t>
  </si>
  <si>
    <t xml:space="preserve">Staff Attrition — Provider (%)</t>
  </si>
  <si>
    <t xml:space="preserve">4.2.5</t>
  </si>
  <si>
    <t xml:space="preserve">Provider staff turnover</t>
  </si>
  <si>
    <t xml:space="preserve">First-Year Retention (%)</t>
  </si>
  <si>
    <t xml:space="preserve">4.2.6</t>
  </si>
  <si>
    <t xml:space="preserve">Customers retained post-transition</t>
  </si>
  <si>
    <t xml:space="preserve">Volume Ramp (%)</t>
  </si>
  <si>
    <t xml:space="preserve">4.2.7</t>
  </si>
  <si>
    <t xml:space="preserve">Planned vs actual volume ramp</t>
  </si>
  <si>
    <t xml:space="preserve">Governance Satisfaction</t>
  </si>
  <si>
    <t xml:space="preserve">4.2.8</t>
  </si>
  <si>
    <t xml:space="preserve">Survey score 1-5</t>
  </si>
  <si>
    <t xml:space="preserve">RAG status compares Current vs Target (direction-aware). Edit blue cells to update.</t>
  </si>
  <si>
    <t xml:space="preserve">Phase Status</t>
  </si>
  <si>
    <t xml:space="preserve">Risk Level</t>
  </si>
  <si>
    <t xml:space="preserve">Not Started</t>
  </si>
  <si>
    <t xml:space="preserve">In Progress</t>
  </si>
  <si>
    <t xml:space="preserve">Complete</t>
  </si>
  <si>
    <t xml:space="preserve">On Hold</t>
  </si>
  <si>
    <t xml:space="preserve">Critical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</si>
</sst>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0.0\%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A227"/>
      <name val="Arial"/>
      <family val="0"/>
      <charset val="1"/>
    </font>
    <font>
      <b val="true"/>
      <sz val="32"/>
      <color rgb="FFFFFFFF"/>
      <name val="Arial"/>
      <family val="0"/>
      <charset val="1"/>
    </font>
    <font>
      <b val="true"/>
      <sz val="32"/>
      <color rgb="FFE8D589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E6EDF3"/>
      <name val="Arial"/>
      <family val="0"/>
      <charset val="1"/>
    </font>
    <font>
      <sz val="10"/>
      <color rgb="FFC9D1D9"/>
      <name val="Arial"/>
      <family val="0"/>
      <charset val="1"/>
    </font>
    <font>
      <sz val="9"/>
      <color rgb="FF8B949E"/>
      <name val="Arial"/>
      <family val="0"/>
      <charset val="1"/>
    </font>
    <font>
      <sz val="8"/>
      <color rgb="FF6E768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E293B"/>
      <name val="Arial"/>
      <family val="0"/>
      <charset val="1"/>
    </font>
    <font>
      <b val="true"/>
      <sz val="10"/>
      <color rgb="FF1D4ED8"/>
      <name val="Arial"/>
      <family val="0"/>
      <charset val="1"/>
    </font>
    <font>
      <sz val="8"/>
      <color rgb="FF64748B"/>
      <name val="Arial"/>
      <family val="0"/>
      <charset val="1"/>
    </font>
    <font>
      <i val="true"/>
      <sz val="8"/>
      <color rgb="FF64748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C9A227"/>
        <bgColor rgb="FF99CC00"/>
      </patternFill>
    </fill>
    <fill>
      <patternFill patternType="solid">
        <fgColor rgb="FF161B22"/>
        <bgColor rgb="FF0D1117"/>
      </patternFill>
    </fill>
    <fill>
      <patternFill patternType="solid">
        <fgColor rgb="FF0E7490"/>
        <bgColor rgb="FF047857"/>
      </patternFill>
    </fill>
    <fill>
      <patternFill patternType="solid">
        <fgColor rgb="FF0B5563"/>
        <bgColor rgb="FF334155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1F5F9"/>
      </patternFill>
    </fill>
    <fill>
      <patternFill patternType="solid">
        <fgColor rgb="FFEFF6FF"/>
        <bgColor rgb="FFF1F5F9"/>
      </patternFill>
    </fill>
    <fill>
      <patternFill patternType="solid">
        <fgColor rgb="FF334155"/>
        <bgColor rgb="FF1E293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>
        <color rgb="FF334155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47857"/>
        <sz val="9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B45309"/>
        <sz val="9"/>
      </font>
      <fill>
        <patternFill>
          <bgColor rgb="FFFEF3C7"/>
        </patternFill>
      </fill>
    </dxf>
    <dxf>
      <font>
        <name val="Arial"/>
        <charset val="1"/>
        <family val="0"/>
        <b val="1"/>
        <color rgb="FFB91C1C"/>
        <sz val="9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E2E8F0"/>
      <rgbColor rgb="FF6E7681"/>
      <rgbColor rgb="FF9999FF"/>
      <rgbColor rgb="FFB45309"/>
      <rgbColor rgb="FFFEF3C7"/>
      <rgbColor rgb="FFE6EDF3"/>
      <rgbColor rgb="FF660066"/>
      <rgbColor rgb="FFFF8080"/>
      <rgbColor rgb="FF1D4ED8"/>
      <rgbColor rgb="FFC9D1D9"/>
      <rgbColor rgb="FF000080"/>
      <rgbColor rgb="FFFF00FF"/>
      <rgbColor rgb="FFFFFF00"/>
      <rgbColor rgb="FF00FFFF"/>
      <rgbColor rgb="FF800080"/>
      <rgbColor rgb="FF800000"/>
      <rgbColor rgb="FF047857"/>
      <rgbColor rgb="FF0000FF"/>
      <rgbColor rgb="FF00CCFF"/>
      <rgbColor rgb="FFEFF6FF"/>
      <rgbColor rgb="FFD1FAE5"/>
      <rgbColor rgb="FFFEE2E2"/>
      <rgbColor rgb="FFF1F5F9"/>
      <rgbColor rgb="FFFF99CC"/>
      <rgbColor rgb="FFCC99FF"/>
      <rgbColor rgb="FFE8D589"/>
      <rgbColor rgb="FF3366FF"/>
      <rgbColor rgb="FF33CCCC"/>
      <rgbColor rgb="FF99CC00"/>
      <rgbColor rgb="FFFFCC00"/>
      <rgbColor rgb="FFC9A227"/>
      <rgbColor rgb="FFFF6600"/>
      <rgbColor rgb="FF64748B"/>
      <rgbColor rgb="FF8B949E"/>
      <rgbColor rgb="FF0B5563"/>
      <rgbColor rgb="FF339966"/>
      <rgbColor rgb="FF161B22"/>
      <rgbColor rgb="FF0D1117"/>
      <rgbColor rgb="FFB91C1C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9" min="5" style="0" width="12"/>
    <col collapsed="false" customWidth="true" hidden="false" outlineLevel="0" max="10" min="10" style="0" width="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3" t="s">
        <v>0</v>
      </c>
      <c r="C4" s="3"/>
      <c r="D4" s="3"/>
      <c r="E4" s="3"/>
      <c r="F4" s="3"/>
      <c r="G4" s="3"/>
      <c r="H4" s="3"/>
      <c r="I4" s="3"/>
      <c r="J4" s="3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42" hidden="false" customHeight="true" outlineLevel="0" collapsed="false">
      <c r="A6" s="1"/>
      <c r="B6" s="4" t="s">
        <v>1</v>
      </c>
      <c r="C6" s="4"/>
      <c r="D6" s="4"/>
      <c r="E6" s="4"/>
      <c r="F6" s="4"/>
      <c r="G6" s="4"/>
      <c r="H6" s="4"/>
      <c r="I6" s="4"/>
      <c r="J6" s="4"/>
      <c r="K6" s="1"/>
      <c r="L6" s="1"/>
    </row>
    <row r="7" customFormat="false" ht="42" hidden="false" customHeight="true" outlineLevel="0" collapsed="false">
      <c r="A7" s="1"/>
      <c r="B7" s="5" t="s">
        <v>2</v>
      </c>
      <c r="C7" s="5"/>
      <c r="D7" s="5"/>
      <c r="E7" s="5"/>
      <c r="F7" s="5"/>
      <c r="G7" s="5"/>
      <c r="H7" s="5"/>
      <c r="I7" s="5"/>
      <c r="J7" s="5"/>
      <c r="K7" s="1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/>
      <c r="B9" s="6" t="s">
        <v>3</v>
      </c>
      <c r="C9" s="6"/>
      <c r="D9" s="6"/>
      <c r="E9" s="6"/>
      <c r="F9" s="6"/>
      <c r="G9" s="6"/>
      <c r="H9" s="6"/>
      <c r="I9" s="6"/>
      <c r="J9" s="6"/>
      <c r="K9" s="1"/>
      <c r="L9" s="1"/>
    </row>
    <row r="10" customFormat="false" ht="15" hidden="false" customHeight="false" outlineLevel="0" collapsed="false">
      <c r="A10" s="1"/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1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21.75" hidden="false" customHeight="true" outlineLevel="0" collapsed="false">
      <c r="A12" s="1"/>
      <c r="B12" s="8" t="s">
        <v>5</v>
      </c>
      <c r="C12" s="8"/>
      <c r="D12" s="8"/>
      <c r="E12" s="8"/>
      <c r="F12" s="8"/>
      <c r="G12" s="8"/>
      <c r="H12" s="8"/>
      <c r="I12" s="8"/>
      <c r="J12" s="8"/>
      <c r="K12" s="1"/>
      <c r="L12" s="1"/>
    </row>
    <row r="13" customFormat="false" ht="19.5" hidden="false" customHeight="true" outlineLevel="0" collapsed="false">
      <c r="A13" s="1"/>
      <c r="B13" s="9" t="s">
        <v>6</v>
      </c>
      <c r="C13" s="10" t="s">
        <v>7</v>
      </c>
      <c r="D13" s="10"/>
      <c r="E13" s="10"/>
      <c r="F13" s="10"/>
      <c r="G13" s="10"/>
      <c r="H13" s="10"/>
      <c r="I13" s="10"/>
      <c r="J13" s="10"/>
      <c r="K13" s="1"/>
      <c r="L13" s="1"/>
    </row>
    <row r="14" customFormat="false" ht="19.5" hidden="false" customHeight="true" outlineLevel="0" collapsed="false">
      <c r="A14" s="1"/>
      <c r="B14" s="9" t="s">
        <v>8</v>
      </c>
      <c r="C14" s="10" t="s">
        <v>9</v>
      </c>
      <c r="D14" s="10"/>
      <c r="E14" s="10"/>
      <c r="F14" s="10"/>
      <c r="G14" s="10"/>
      <c r="H14" s="10"/>
      <c r="I14" s="10"/>
      <c r="J14" s="10"/>
      <c r="K14" s="1"/>
      <c r="L14" s="1"/>
    </row>
    <row r="15" customFormat="false" ht="19.5" hidden="false" customHeight="true" outlineLevel="0" collapsed="false">
      <c r="A15" s="1"/>
      <c r="B15" s="9" t="s">
        <v>10</v>
      </c>
      <c r="C15" s="10" t="s">
        <v>11</v>
      </c>
      <c r="D15" s="10"/>
      <c r="E15" s="10"/>
      <c r="F15" s="10"/>
      <c r="G15" s="10"/>
      <c r="H15" s="10"/>
      <c r="I15" s="10"/>
      <c r="J15" s="10"/>
      <c r="K15" s="1"/>
      <c r="L15" s="1"/>
    </row>
    <row r="16" customFormat="false" ht="19.5" hidden="false" customHeight="true" outlineLevel="0" collapsed="false">
      <c r="A16" s="1"/>
      <c r="B16" s="9" t="s">
        <v>12</v>
      </c>
      <c r="C16" s="11" t="s">
        <v>13</v>
      </c>
      <c r="D16" s="11"/>
      <c r="E16" s="11"/>
      <c r="F16" s="11"/>
      <c r="G16" s="11"/>
      <c r="H16" s="11"/>
      <c r="I16" s="11"/>
      <c r="J16" s="11"/>
      <c r="K16" s="1"/>
      <c r="L16" s="1"/>
    </row>
    <row r="17" customFormat="false" ht="19.5" hidden="false" customHeight="true" outlineLevel="0" collapsed="false">
      <c r="A17" s="1"/>
      <c r="B17" s="9" t="s">
        <v>14</v>
      </c>
      <c r="C17" s="11" t="s">
        <v>15</v>
      </c>
      <c r="D17" s="11"/>
      <c r="E17" s="11"/>
      <c r="F17" s="11"/>
      <c r="G17" s="11"/>
      <c r="H17" s="11"/>
      <c r="I17" s="11"/>
      <c r="J17" s="1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1.75" hidden="false" customHeight="true" outlineLevel="0" collapsed="false">
      <c r="A19" s="1"/>
      <c r="B19" s="8" t="s">
        <v>16</v>
      </c>
      <c r="C19" s="8"/>
      <c r="D19" s="8"/>
      <c r="E19" s="8"/>
      <c r="F19" s="8"/>
      <c r="G19" s="8"/>
      <c r="H19" s="8"/>
      <c r="I19" s="8"/>
      <c r="J19" s="8"/>
      <c r="K19" s="1"/>
      <c r="L19" s="1"/>
    </row>
    <row r="20" customFormat="false" ht="15" hidden="false" customHeight="true" outlineLevel="0" collapsed="false">
      <c r="A20" s="1"/>
      <c r="B20" s="12" t="s">
        <v>17</v>
      </c>
      <c r="C20" s="12"/>
      <c r="D20" s="12"/>
      <c r="E20" s="12"/>
      <c r="F20" s="12"/>
      <c r="G20" s="12"/>
      <c r="H20" s="12"/>
      <c r="I20" s="12"/>
      <c r="J20" s="12"/>
      <c r="K20" s="1"/>
      <c r="L20" s="1"/>
    </row>
    <row r="21" customFormat="false" ht="15" hidden="false" customHeight="false" outlineLevel="0" collapsed="false">
      <c r="A21" s="1"/>
      <c r="B21" s="12"/>
      <c r="C21" s="12"/>
      <c r="D21" s="12"/>
      <c r="E21" s="12"/>
      <c r="F21" s="12"/>
      <c r="G21" s="12"/>
      <c r="H21" s="12"/>
      <c r="I21" s="12"/>
      <c r="J21" s="12"/>
      <c r="K21" s="1"/>
      <c r="L21" s="1"/>
    </row>
    <row r="22" customFormat="false" ht="15" hidden="false" customHeight="false" outlineLevel="0" collapsed="false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"/>
      <c r="L22" s="1"/>
    </row>
    <row r="23" customFormat="false" ht="15" hidden="false" customHeight="false" outlineLevel="0" collapsed="false">
      <c r="A23" s="1"/>
      <c r="B23" s="12"/>
      <c r="C23" s="12"/>
      <c r="D23" s="12"/>
      <c r="E23" s="12"/>
      <c r="F23" s="12"/>
      <c r="G23" s="12"/>
      <c r="H23" s="12"/>
      <c r="I23" s="12"/>
      <c r="J23" s="12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21.75" hidden="false" customHeight="true" outlineLevel="0" collapsed="false">
      <c r="A25" s="1"/>
      <c r="B25" s="8" t="s">
        <v>18</v>
      </c>
      <c r="C25" s="8"/>
      <c r="D25" s="8"/>
      <c r="E25" s="8"/>
      <c r="F25" s="8"/>
      <c r="G25" s="8"/>
      <c r="H25" s="8"/>
      <c r="I25" s="8"/>
      <c r="J25" s="8"/>
      <c r="K25" s="1"/>
      <c r="L25" s="1"/>
    </row>
    <row r="26" customFormat="false" ht="18" hidden="false" customHeight="true" outlineLevel="0" collapsed="false">
      <c r="A26" s="1"/>
      <c r="B26" s="13" t="s">
        <v>19</v>
      </c>
      <c r="C26" s="14" t="s">
        <v>20</v>
      </c>
      <c r="D26" s="14"/>
      <c r="E26" s="15" t="s">
        <v>20</v>
      </c>
      <c r="F26" s="15"/>
      <c r="G26" s="15"/>
      <c r="H26" s="15"/>
      <c r="I26" s="15"/>
      <c r="J26" s="15"/>
      <c r="K26" s="1"/>
      <c r="L26" s="1"/>
    </row>
    <row r="27" customFormat="false" ht="18" hidden="false" customHeight="true" outlineLevel="0" collapsed="false">
      <c r="A27" s="1"/>
      <c r="B27" s="13" t="s">
        <v>21</v>
      </c>
      <c r="C27" s="14" t="s">
        <v>22</v>
      </c>
      <c r="D27" s="14"/>
      <c r="E27" s="15" t="s">
        <v>22</v>
      </c>
      <c r="F27" s="15"/>
      <c r="G27" s="15"/>
      <c r="H27" s="15"/>
      <c r="I27" s="15"/>
      <c r="J27" s="15"/>
      <c r="K27" s="1"/>
      <c r="L27" s="1"/>
    </row>
    <row r="28" customFormat="false" ht="18" hidden="false" customHeight="true" outlineLevel="0" collapsed="false">
      <c r="A28" s="1"/>
      <c r="B28" s="13" t="s">
        <v>23</v>
      </c>
      <c r="C28" s="14" t="s">
        <v>24</v>
      </c>
      <c r="D28" s="14"/>
      <c r="E28" s="15" t="s">
        <v>24</v>
      </c>
      <c r="F28" s="15"/>
      <c r="G28" s="15"/>
      <c r="H28" s="15"/>
      <c r="I28" s="15"/>
      <c r="J28" s="15"/>
      <c r="K28" s="1"/>
      <c r="L28" s="1"/>
    </row>
    <row r="29" customFormat="false" ht="18" hidden="false" customHeight="true" outlineLevel="0" collapsed="false">
      <c r="A29" s="1"/>
      <c r="B29" s="13" t="s">
        <v>25</v>
      </c>
      <c r="C29" s="14" t="s">
        <v>26</v>
      </c>
      <c r="D29" s="14"/>
      <c r="E29" s="15" t="s">
        <v>27</v>
      </c>
      <c r="F29" s="15"/>
      <c r="G29" s="15"/>
      <c r="H29" s="15"/>
      <c r="I29" s="15"/>
      <c r="J29" s="15"/>
      <c r="K29" s="1"/>
      <c r="L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customFormat="false" ht="15" hidden="false" customHeight="false" outlineLevel="0" collapsed="false">
      <c r="A31" s="1"/>
      <c r="B31" s="16" t="s">
        <v>28</v>
      </c>
      <c r="C31" s="16"/>
      <c r="D31" s="16"/>
      <c r="E31" s="16"/>
      <c r="F31" s="16"/>
      <c r="G31" s="16"/>
      <c r="H31" s="16"/>
      <c r="I31" s="16"/>
      <c r="J31" s="16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24">
    <mergeCell ref="B2:J2"/>
    <mergeCell ref="B4:J4"/>
    <mergeCell ref="B6:J6"/>
    <mergeCell ref="B7:J7"/>
    <mergeCell ref="B9:J9"/>
    <mergeCell ref="B10:J10"/>
    <mergeCell ref="B12:J12"/>
    <mergeCell ref="C13:J13"/>
    <mergeCell ref="C14:J14"/>
    <mergeCell ref="C15:J15"/>
    <mergeCell ref="C16:J16"/>
    <mergeCell ref="C17:J17"/>
    <mergeCell ref="B19:J19"/>
    <mergeCell ref="B20:J23"/>
    <mergeCell ref="B25:J25"/>
    <mergeCell ref="C26:D26"/>
    <mergeCell ref="E26:J26"/>
    <mergeCell ref="C27:D27"/>
    <mergeCell ref="E27:J27"/>
    <mergeCell ref="C28:D28"/>
    <mergeCell ref="E28:J28"/>
    <mergeCell ref="C29:D29"/>
    <mergeCell ref="E29:J29"/>
    <mergeCell ref="B31:J31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64"/>
    <col collapsed="false" customWidth="true" hidden="false" outlineLevel="0" max="4" min="4" style="0" width="4"/>
  </cols>
  <sheetData>
    <row r="2" customFormat="false" ht="30" hidden="false" customHeight="true" outlineLevel="0" collapsed="false">
      <c r="B2" s="17" t="s">
        <v>29</v>
      </c>
      <c r="C2" s="17"/>
    </row>
    <row r="3" customFormat="false" ht="15.75" hidden="false" customHeight="true" outlineLevel="0" collapsed="false">
      <c r="B3" s="18" t="s">
        <v>30</v>
      </c>
      <c r="C3" s="18"/>
    </row>
    <row r="5" customFormat="false" ht="21.75" hidden="false" customHeight="true" outlineLevel="0" collapsed="false">
      <c r="B5" s="19" t="s">
        <v>31</v>
      </c>
      <c r="C5" s="20" t="s">
        <v>32</v>
      </c>
    </row>
    <row r="6" customFormat="false" ht="30" hidden="false" customHeight="true" outlineLevel="0" collapsed="false">
      <c r="B6" s="21"/>
      <c r="C6" s="22" t="s">
        <v>33</v>
      </c>
    </row>
    <row r="7" customFormat="false" ht="21.75" hidden="false" customHeight="true" outlineLevel="0" collapsed="false">
      <c r="B7" s="19" t="s">
        <v>34</v>
      </c>
      <c r="C7" s="20" t="s">
        <v>35</v>
      </c>
    </row>
    <row r="8" customFormat="false" ht="30" hidden="false" customHeight="true" outlineLevel="0" collapsed="false">
      <c r="B8" s="21"/>
      <c r="C8" s="22" t="s">
        <v>36</v>
      </c>
    </row>
    <row r="9" customFormat="false" ht="21.75" hidden="false" customHeight="true" outlineLevel="0" collapsed="false">
      <c r="B9" s="19" t="s">
        <v>37</v>
      </c>
      <c r="C9" s="20" t="s">
        <v>38</v>
      </c>
    </row>
    <row r="10" customFormat="false" ht="30" hidden="false" customHeight="true" outlineLevel="0" collapsed="false">
      <c r="B10" s="21"/>
      <c r="C10" s="22" t="s">
        <v>39</v>
      </c>
    </row>
    <row r="11" customFormat="false" ht="21.75" hidden="false" customHeight="true" outlineLevel="0" collapsed="false">
      <c r="B11" s="19" t="s">
        <v>40</v>
      </c>
      <c r="C11" s="20" t="s">
        <v>41</v>
      </c>
    </row>
    <row r="12" customFormat="false" ht="30" hidden="false" customHeight="true" outlineLevel="0" collapsed="false">
      <c r="B12" s="21"/>
      <c r="C12" s="22" t="s">
        <v>42</v>
      </c>
    </row>
    <row r="14" customFormat="false" ht="24" hidden="false" customHeight="true" outlineLevel="0" collapsed="false">
      <c r="B14" s="23" t="s">
        <v>43</v>
      </c>
      <c r="C14" s="23"/>
    </row>
  </sheetData>
  <mergeCells count="3">
    <mergeCell ref="B2:C2"/>
    <mergeCell ref="B3:C3"/>
    <mergeCell ref="B14:C14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5"/>
    <col collapsed="false" customWidth="true" hidden="false" outlineLevel="0" max="3" min="3" style="0" width="12"/>
    <col collapsed="false" customWidth="true" hidden="false" outlineLevel="0" max="4" min="4" style="0" width="48"/>
    <col collapsed="false" customWidth="true" hidden="false" outlineLevel="0" max="5" min="5" style="0" width="46"/>
    <col collapsed="false" customWidth="true" hidden="false" outlineLevel="0" max="6" min="6" style="0" width="28"/>
  </cols>
  <sheetData>
    <row r="2" customFormat="false" ht="30" hidden="false" customHeight="true" outlineLevel="0" collapsed="false">
      <c r="B2" s="17" t="s">
        <v>44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45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46</v>
      </c>
      <c r="C5" s="24" t="s">
        <v>47</v>
      </c>
      <c r="D5" s="24" t="s">
        <v>48</v>
      </c>
      <c r="E5" s="24" t="s">
        <v>49</v>
      </c>
      <c r="F5" s="24" t="s">
        <v>50</v>
      </c>
    </row>
    <row r="6" customFormat="false" ht="27.75" hidden="false" customHeight="true" outlineLevel="0" collapsed="false">
      <c r="B6" s="25" t="s">
        <v>51</v>
      </c>
      <c r="C6" s="26" t="s">
        <v>52</v>
      </c>
      <c r="D6" s="26" t="s">
        <v>53</v>
      </c>
      <c r="E6" s="26" t="s">
        <v>54</v>
      </c>
      <c r="F6" s="26" t="s">
        <v>55</v>
      </c>
    </row>
    <row r="7" customFormat="false" ht="27.75" hidden="false" customHeight="true" outlineLevel="0" collapsed="false">
      <c r="B7" s="27" t="s">
        <v>56</v>
      </c>
      <c r="C7" s="28" t="s">
        <v>57</v>
      </c>
      <c r="D7" s="28" t="s">
        <v>58</v>
      </c>
      <c r="E7" s="28" t="s">
        <v>59</v>
      </c>
      <c r="F7" s="28" t="s">
        <v>60</v>
      </c>
    </row>
    <row r="8" customFormat="false" ht="27.75" hidden="false" customHeight="true" outlineLevel="0" collapsed="false">
      <c r="B8" s="25" t="s">
        <v>61</v>
      </c>
      <c r="C8" s="26" t="s">
        <v>62</v>
      </c>
      <c r="D8" s="26" t="s">
        <v>63</v>
      </c>
      <c r="E8" s="26" t="s">
        <v>64</v>
      </c>
      <c r="F8" s="26" t="s">
        <v>65</v>
      </c>
    </row>
    <row r="9" customFormat="false" ht="27.75" hidden="false" customHeight="true" outlineLevel="0" collapsed="false">
      <c r="B9" s="27" t="s">
        <v>66</v>
      </c>
      <c r="C9" s="28" t="s">
        <v>52</v>
      </c>
      <c r="D9" s="28" t="s">
        <v>67</v>
      </c>
      <c r="E9" s="28" t="s">
        <v>68</v>
      </c>
      <c r="F9" s="28" t="s">
        <v>69</v>
      </c>
    </row>
    <row r="10" customFormat="false" ht="27.75" hidden="false" customHeight="true" outlineLevel="0" collapsed="false">
      <c r="B10" s="25" t="s">
        <v>70</v>
      </c>
      <c r="C10" s="26" t="s">
        <v>62</v>
      </c>
      <c r="D10" s="26" t="s">
        <v>71</v>
      </c>
      <c r="E10" s="26" t="s">
        <v>72</v>
      </c>
      <c r="F10" s="26" t="s">
        <v>73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6" min="3" style="0" width="12"/>
    <col collapsed="false" customWidth="true" hidden="false" outlineLevel="0" max="7" min="7" style="0" width="43"/>
    <col collapsed="false" customWidth="true" hidden="false" outlineLevel="0" max="8" min="8" style="0" width="40"/>
  </cols>
  <sheetData>
    <row r="2" customFormat="false" ht="30" hidden="false" customHeight="true" outlineLevel="0" collapsed="false">
      <c r="B2" s="17" t="s">
        <v>74</v>
      </c>
      <c r="C2" s="17"/>
      <c r="D2" s="17"/>
      <c r="E2" s="17"/>
      <c r="F2" s="17"/>
      <c r="G2" s="17"/>
      <c r="H2" s="17"/>
    </row>
    <row r="3" customFormat="false" ht="15.75" hidden="false" customHeight="true" outlineLevel="0" collapsed="false">
      <c r="B3" s="18" t="s">
        <v>75</v>
      </c>
      <c r="C3" s="18"/>
      <c r="D3" s="18"/>
      <c r="E3" s="18"/>
      <c r="F3" s="18"/>
      <c r="G3" s="18"/>
      <c r="H3" s="18"/>
    </row>
    <row r="5" customFormat="false" ht="25.5" hidden="false" customHeight="true" outlineLevel="0" collapsed="false">
      <c r="B5" s="24" t="s">
        <v>76</v>
      </c>
      <c r="C5" s="24" t="s">
        <v>77</v>
      </c>
      <c r="D5" s="24" t="s">
        <v>78</v>
      </c>
      <c r="E5" s="24" t="s">
        <v>79</v>
      </c>
      <c r="F5" s="24" t="s">
        <v>80</v>
      </c>
      <c r="G5" s="24" t="s">
        <v>81</v>
      </c>
      <c r="H5" s="24" t="s">
        <v>82</v>
      </c>
    </row>
    <row r="6" customFormat="false" ht="27.75" hidden="false" customHeight="true" outlineLevel="0" collapsed="false">
      <c r="B6" s="25" t="s">
        <v>83</v>
      </c>
      <c r="C6" s="26" t="n">
        <v>1</v>
      </c>
      <c r="D6" s="26" t="n">
        <v>5</v>
      </c>
      <c r="E6" s="26" t="n">
        <v>5</v>
      </c>
      <c r="F6" s="26" t="s">
        <v>84</v>
      </c>
      <c r="G6" s="26" t="n">
        <f aca="false">IF(C6="","",IFERROR((6-C6)+D6+E6,0))</f>
        <v>15</v>
      </c>
      <c r="H6" s="26" t="s">
        <v>85</v>
      </c>
    </row>
    <row r="7" customFormat="false" ht="27.75" hidden="false" customHeight="true" outlineLevel="0" collapsed="false">
      <c r="B7" s="27" t="s">
        <v>86</v>
      </c>
      <c r="C7" s="28" t="n">
        <v>3</v>
      </c>
      <c r="D7" s="28" t="n">
        <v>3</v>
      </c>
      <c r="E7" s="28" t="n">
        <v>4</v>
      </c>
      <c r="F7" s="28" t="s">
        <v>87</v>
      </c>
      <c r="G7" s="28" t="n">
        <f aca="false">IF(C7="","",IFERROR((6-C7)+D7+E7,0))</f>
        <v>10</v>
      </c>
      <c r="H7" s="28" t="s">
        <v>88</v>
      </c>
    </row>
    <row r="8" customFormat="false" ht="27.75" hidden="false" customHeight="true" outlineLevel="0" collapsed="false">
      <c r="B8" s="25" t="s">
        <v>89</v>
      </c>
      <c r="C8" s="26" t="n">
        <v>1</v>
      </c>
      <c r="D8" s="26" t="n">
        <v>5</v>
      </c>
      <c r="E8" s="26" t="n">
        <v>5</v>
      </c>
      <c r="F8" s="26" t="s">
        <v>84</v>
      </c>
      <c r="G8" s="26" t="n">
        <f aca="false">IF(C8="","",IFERROR((6-C8)+D8+E8,0))</f>
        <v>15</v>
      </c>
      <c r="H8" s="26" t="s">
        <v>90</v>
      </c>
    </row>
    <row r="9" customFormat="false" ht="27.75" hidden="false" customHeight="true" outlineLevel="0" collapsed="false">
      <c r="B9" s="27" t="s">
        <v>91</v>
      </c>
      <c r="C9" s="28" t="n">
        <v>1</v>
      </c>
      <c r="D9" s="28" t="n">
        <v>5</v>
      </c>
      <c r="E9" s="28" t="n">
        <v>5</v>
      </c>
      <c r="F9" s="28" t="s">
        <v>84</v>
      </c>
      <c r="G9" s="28" t="n">
        <f aca="false">IF(C9="","",IFERROR((6-C9)+D9+E9,0))</f>
        <v>15</v>
      </c>
      <c r="H9" s="28" t="s">
        <v>92</v>
      </c>
    </row>
    <row r="10" customFormat="false" ht="27.75" hidden="false" customHeight="true" outlineLevel="0" collapsed="false">
      <c r="B10" s="25" t="s">
        <v>93</v>
      </c>
      <c r="C10" s="26" t="n">
        <v>2</v>
      </c>
      <c r="D10" s="26" t="n">
        <v>3</v>
      </c>
      <c r="E10" s="26" t="n">
        <v>3</v>
      </c>
      <c r="F10" s="26" t="s">
        <v>84</v>
      </c>
      <c r="G10" s="26" t="n">
        <f aca="false">IF(C10="","",IFERROR((6-C10)+D10+E10,0))</f>
        <v>10</v>
      </c>
      <c r="H10" s="26" t="s">
        <v>94</v>
      </c>
    </row>
    <row r="11" customFormat="false" ht="27.75" hidden="false" customHeight="true" outlineLevel="0" collapsed="false">
      <c r="B11" s="27" t="s">
        <v>95</v>
      </c>
      <c r="C11" s="28" t="n">
        <v>3</v>
      </c>
      <c r="D11" s="28" t="n">
        <v>2</v>
      </c>
      <c r="E11" s="28" t="n">
        <v>3</v>
      </c>
      <c r="F11" s="28" t="s">
        <v>87</v>
      </c>
      <c r="G11" s="28" t="n">
        <f aca="false">IF(C11="","",IFERROR((6-C11)+D11+E11,0))</f>
        <v>8</v>
      </c>
      <c r="H11" s="28" t="s">
        <v>96</v>
      </c>
    </row>
    <row r="12" customFormat="false" ht="27.75" hidden="false" customHeight="true" outlineLevel="0" collapsed="false">
      <c r="B12" s="25" t="s">
        <v>97</v>
      </c>
      <c r="C12" s="26" t="n">
        <v>1</v>
      </c>
      <c r="D12" s="26" t="n">
        <v>5</v>
      </c>
      <c r="E12" s="26" t="n">
        <v>5</v>
      </c>
      <c r="F12" s="26" t="s">
        <v>84</v>
      </c>
      <c r="G12" s="26" t="n">
        <f aca="false">IF(C12="","",IFERROR((6-C12)+D12+E12,0))</f>
        <v>15</v>
      </c>
      <c r="H12" s="26" t="s">
        <v>98</v>
      </c>
    </row>
    <row r="13" customFormat="false" ht="27.75" hidden="false" customHeight="true" outlineLevel="0" collapsed="false">
      <c r="B13" s="27" t="s">
        <v>99</v>
      </c>
      <c r="C13" s="28" t="n">
        <v>4</v>
      </c>
      <c r="D13" s="28" t="n">
        <v>1</v>
      </c>
      <c r="E13" s="28" t="n">
        <v>2</v>
      </c>
      <c r="F13" s="28" t="s">
        <v>100</v>
      </c>
      <c r="G13" s="28" t="n">
        <f aca="false">IF(C13="","",IFERROR((6-C13)+D13+E13,0))</f>
        <v>5</v>
      </c>
      <c r="H13" s="28" t="s">
        <v>101</v>
      </c>
    </row>
    <row r="14" customFormat="false" ht="27.75" hidden="false" customHeight="true" outlineLevel="0" collapsed="false">
      <c r="B14" s="25" t="s">
        <v>102</v>
      </c>
      <c r="C14" s="26" t="n">
        <v>2</v>
      </c>
      <c r="D14" s="26" t="n">
        <v>3</v>
      </c>
      <c r="E14" s="26" t="n">
        <v>3</v>
      </c>
      <c r="F14" s="26" t="s">
        <v>84</v>
      </c>
      <c r="G14" s="26" t="n">
        <f aca="false">IF(C14="","",IFERROR((6-C14)+D14+E14,0))</f>
        <v>10</v>
      </c>
      <c r="H14" s="26" t="s">
        <v>103</v>
      </c>
    </row>
    <row r="15" customFormat="false" ht="27.75" hidden="false" customHeight="true" outlineLevel="0" collapsed="false">
      <c r="B15" s="27" t="s">
        <v>104</v>
      </c>
      <c r="C15" s="28" t="n">
        <v>3</v>
      </c>
      <c r="D15" s="28" t="n">
        <v>3</v>
      </c>
      <c r="E15" s="28" t="n">
        <v>2</v>
      </c>
      <c r="F15" s="28" t="s">
        <v>87</v>
      </c>
      <c r="G15" s="28" t="n">
        <f aca="false">IF(C15="","",IFERROR((6-C15)+D15+E15,0))</f>
        <v>8</v>
      </c>
      <c r="H15" s="28" t="s">
        <v>105</v>
      </c>
    </row>
    <row r="16" customFormat="false" ht="27.75" hidden="false" customHeight="true" outlineLevel="0" collapsed="false">
      <c r="B16" s="25" t="s">
        <v>106</v>
      </c>
      <c r="C16" s="26" t="n">
        <v>4</v>
      </c>
      <c r="D16" s="26" t="n">
        <v>2</v>
      </c>
      <c r="E16" s="26" t="n">
        <v>1</v>
      </c>
      <c r="F16" s="26" t="s">
        <v>107</v>
      </c>
      <c r="G16" s="26" t="n">
        <f aca="false">IF(C16="","",IFERROR((6-C16)+D16+E16,0))</f>
        <v>5</v>
      </c>
      <c r="H16" s="26" t="s">
        <v>108</v>
      </c>
    </row>
    <row r="17" customFormat="false" ht="27.75" hidden="false" customHeight="true" outlineLevel="0" collapsed="false">
      <c r="B17" s="27" t="s">
        <v>109</v>
      </c>
      <c r="C17" s="28" t="n">
        <v>2</v>
      </c>
      <c r="D17" s="28" t="n">
        <v>3</v>
      </c>
      <c r="E17" s="28" t="n">
        <v>4</v>
      </c>
      <c r="F17" s="28" t="s">
        <v>84</v>
      </c>
      <c r="G17" s="28" t="n">
        <f aca="false">IF(C17="","",IFERROR((6-C17)+D17+E17,0))</f>
        <v>11</v>
      </c>
      <c r="H17" s="28" t="s">
        <v>110</v>
      </c>
    </row>
  </sheetData>
  <mergeCells count="2">
    <mergeCell ref="B2:H2"/>
    <mergeCell ref="B3:H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I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7" min="3" style="0" width="12"/>
    <col collapsed="false" customWidth="true" hidden="false" outlineLevel="0" max="9" min="8" style="0" width="21"/>
  </cols>
  <sheetData>
    <row r="2" customFormat="false" ht="30" hidden="false" customHeight="true" outlineLevel="0" collapsed="false">
      <c r="B2" s="17" t="s">
        <v>111</v>
      </c>
      <c r="C2" s="17"/>
      <c r="D2" s="17"/>
      <c r="E2" s="17"/>
      <c r="F2" s="17"/>
      <c r="G2" s="17"/>
      <c r="H2" s="17"/>
      <c r="I2" s="17"/>
    </row>
    <row r="3" customFormat="false" ht="15.75" hidden="false" customHeight="true" outlineLevel="0" collapsed="false">
      <c r="B3" s="18" t="s">
        <v>112</v>
      </c>
      <c r="C3" s="18"/>
      <c r="D3" s="18"/>
      <c r="E3" s="18"/>
      <c r="F3" s="18"/>
      <c r="G3" s="18"/>
      <c r="H3" s="18"/>
      <c r="I3" s="18"/>
    </row>
    <row r="5" customFormat="false" ht="25.5" hidden="false" customHeight="true" outlineLevel="0" collapsed="false">
      <c r="B5" s="24" t="s">
        <v>113</v>
      </c>
      <c r="C5" s="24" t="s">
        <v>114</v>
      </c>
      <c r="D5" s="24" t="s">
        <v>115</v>
      </c>
      <c r="E5" s="24" t="s">
        <v>116</v>
      </c>
      <c r="F5" s="24" t="s">
        <v>117</v>
      </c>
      <c r="G5" s="24" t="s">
        <v>118</v>
      </c>
      <c r="H5" s="24" t="s">
        <v>119</v>
      </c>
      <c r="I5" s="24" t="s">
        <v>120</v>
      </c>
    </row>
    <row r="6" customFormat="false" ht="27.75" hidden="false" customHeight="true" outlineLevel="0" collapsed="false">
      <c r="B6" s="25" t="s">
        <v>121</v>
      </c>
      <c r="C6" s="26" t="n">
        <v>0.2</v>
      </c>
      <c r="D6" s="26"/>
      <c r="E6" s="26"/>
      <c r="F6" s="26"/>
      <c r="G6" s="26"/>
      <c r="H6" s="26" t="n">
        <f aca="false">IFERROR(C6*D6,0)</f>
        <v>0</v>
      </c>
      <c r="I6" s="26" t="n">
        <f aca="false">IFERROR(C6*E6,0)</f>
        <v>0</v>
      </c>
    </row>
    <row r="7" customFormat="false" ht="27.75" hidden="false" customHeight="true" outlineLevel="0" collapsed="false">
      <c r="B7" s="27" t="s">
        <v>122</v>
      </c>
      <c r="C7" s="28" t="n">
        <v>0.2</v>
      </c>
      <c r="D7" s="28"/>
      <c r="E7" s="28"/>
      <c r="F7" s="28"/>
      <c r="G7" s="28"/>
      <c r="H7" s="28" t="n">
        <f aca="false">IFERROR(C7*D7,0)</f>
        <v>0</v>
      </c>
      <c r="I7" s="28" t="n">
        <f aca="false">IFERROR(C7*E7,0)</f>
        <v>0</v>
      </c>
    </row>
    <row r="8" customFormat="false" ht="27.75" hidden="false" customHeight="true" outlineLevel="0" collapsed="false">
      <c r="B8" s="25" t="s">
        <v>123</v>
      </c>
      <c r="C8" s="26" t="n">
        <v>0.15</v>
      </c>
      <c r="D8" s="26"/>
      <c r="E8" s="26"/>
      <c r="F8" s="26"/>
      <c r="G8" s="26"/>
      <c r="H8" s="26" t="n">
        <f aca="false">IFERROR(C8*D8,0)</f>
        <v>0</v>
      </c>
      <c r="I8" s="26" t="n">
        <f aca="false">IFERROR(C8*E8,0)</f>
        <v>0</v>
      </c>
    </row>
    <row r="9" customFormat="false" ht="27.75" hidden="false" customHeight="true" outlineLevel="0" collapsed="false">
      <c r="B9" s="27" t="s">
        <v>124</v>
      </c>
      <c r="C9" s="28" t="n">
        <v>0.15</v>
      </c>
      <c r="D9" s="28"/>
      <c r="E9" s="28"/>
      <c r="F9" s="28"/>
      <c r="G9" s="28"/>
      <c r="H9" s="28" t="n">
        <f aca="false">IFERROR(C9*D9,0)</f>
        <v>0</v>
      </c>
      <c r="I9" s="28" t="n">
        <f aca="false">IFERROR(C9*E9,0)</f>
        <v>0</v>
      </c>
    </row>
    <row r="10" customFormat="false" ht="27.75" hidden="false" customHeight="true" outlineLevel="0" collapsed="false">
      <c r="B10" s="25" t="s">
        <v>125</v>
      </c>
      <c r="C10" s="26" t="n">
        <v>0.1</v>
      </c>
      <c r="D10" s="26"/>
      <c r="E10" s="26"/>
      <c r="F10" s="26"/>
      <c r="G10" s="26"/>
      <c r="H10" s="26" t="n">
        <f aca="false">IFERROR(C10*D10,0)</f>
        <v>0</v>
      </c>
      <c r="I10" s="26" t="n">
        <f aca="false">IFERROR(C10*E10,0)</f>
        <v>0</v>
      </c>
    </row>
    <row r="11" customFormat="false" ht="27.75" hidden="false" customHeight="true" outlineLevel="0" collapsed="false">
      <c r="B11" s="27" t="s">
        <v>126</v>
      </c>
      <c r="C11" s="28" t="n">
        <v>0.1</v>
      </c>
      <c r="D11" s="28"/>
      <c r="E11" s="28"/>
      <c r="F11" s="28"/>
      <c r="G11" s="28"/>
      <c r="H11" s="28" t="n">
        <f aca="false">IFERROR(C11*D11,0)</f>
        <v>0</v>
      </c>
      <c r="I11" s="28" t="n">
        <f aca="false">IFERROR(C11*E11,0)</f>
        <v>0</v>
      </c>
    </row>
    <row r="12" customFormat="false" ht="27.75" hidden="false" customHeight="true" outlineLevel="0" collapsed="false">
      <c r="B12" s="25" t="s">
        <v>127</v>
      </c>
      <c r="C12" s="26" t="n">
        <v>0.05</v>
      </c>
      <c r="D12" s="26"/>
      <c r="E12" s="26"/>
      <c r="F12" s="26"/>
      <c r="G12" s="26"/>
      <c r="H12" s="26" t="n">
        <f aca="false">IFERROR(C12*D12,0)</f>
        <v>0</v>
      </c>
      <c r="I12" s="26" t="n">
        <f aca="false">IFERROR(C12*E12,0)</f>
        <v>0</v>
      </c>
    </row>
    <row r="13" customFormat="false" ht="27.75" hidden="false" customHeight="true" outlineLevel="0" collapsed="false">
      <c r="B13" s="27" t="s">
        <v>128</v>
      </c>
      <c r="C13" s="28" t="n">
        <v>0.05</v>
      </c>
      <c r="D13" s="28"/>
      <c r="E13" s="28"/>
      <c r="F13" s="28"/>
      <c r="G13" s="28"/>
      <c r="H13" s="28" t="n">
        <f aca="false">IFERROR(C13*D13,0)</f>
        <v>0</v>
      </c>
      <c r="I13" s="28" t="n">
        <f aca="false">IFERROR(C13*E13,0)</f>
        <v>0</v>
      </c>
    </row>
    <row r="14" customFormat="false" ht="27.75" hidden="false" customHeight="true" outlineLevel="0" collapsed="false">
      <c r="B14" s="25" t="s">
        <v>129</v>
      </c>
      <c r="C14" s="26"/>
      <c r="D14" s="26"/>
      <c r="E14" s="26"/>
      <c r="F14" s="26"/>
      <c r="G14" s="26"/>
      <c r="H14" s="26" t="n">
        <f aca="false">SUM(H6:H13)</f>
        <v>0</v>
      </c>
      <c r="I14" s="26" t="n">
        <f aca="false">SUM(I6:I13)</f>
        <v>0</v>
      </c>
    </row>
  </sheetData>
  <mergeCells count="2">
    <mergeCell ref="B2:I2"/>
    <mergeCell ref="B3:I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J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1"/>
    <col collapsed="false" customWidth="true" hidden="false" outlineLevel="0" max="7" min="5" style="0" width="10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26"/>
  </cols>
  <sheetData>
    <row r="2" customFormat="false" ht="30" hidden="false" customHeight="true" outlineLevel="0" collapsed="false">
      <c r="B2" s="29" t="s">
        <v>130</v>
      </c>
      <c r="C2" s="29"/>
      <c r="D2" s="29"/>
      <c r="E2" s="29"/>
      <c r="F2" s="29"/>
      <c r="G2" s="29"/>
      <c r="H2" s="29"/>
      <c r="I2" s="29"/>
      <c r="J2" s="29"/>
    </row>
    <row r="3" customFormat="false" ht="15.75" hidden="false" customHeight="true" outlineLevel="0" collapsed="false">
      <c r="B3" s="30" t="s">
        <v>131</v>
      </c>
      <c r="C3" s="30"/>
      <c r="D3" s="30"/>
      <c r="E3" s="30"/>
      <c r="F3" s="30"/>
      <c r="G3" s="30"/>
      <c r="H3" s="30"/>
      <c r="I3" s="30"/>
      <c r="J3" s="30"/>
    </row>
    <row r="5" customFormat="false" ht="25.5" hidden="false" customHeight="true" outlineLevel="0" collapsed="false">
      <c r="B5" s="24" t="s">
        <v>132</v>
      </c>
      <c r="C5" s="24" t="s">
        <v>133</v>
      </c>
      <c r="D5" s="24" t="s">
        <v>134</v>
      </c>
      <c r="E5" s="24" t="s">
        <v>135</v>
      </c>
      <c r="F5" s="24" t="s">
        <v>136</v>
      </c>
      <c r="G5" s="24" t="s">
        <v>137</v>
      </c>
      <c r="H5" s="24" t="s">
        <v>138</v>
      </c>
      <c r="I5" s="24" t="s">
        <v>139</v>
      </c>
      <c r="J5" s="24" t="s">
        <v>140</v>
      </c>
    </row>
    <row r="6" customFormat="false" ht="21.75" hidden="false" customHeight="true" outlineLevel="0" collapsed="false">
      <c r="B6" s="31" t="s">
        <v>141</v>
      </c>
      <c r="C6" s="32" t="n">
        <v>9</v>
      </c>
      <c r="D6" s="32" t="n">
        <v>6</v>
      </c>
      <c r="E6" s="33" t="n">
        <v>4</v>
      </c>
      <c r="F6" s="33" t="n">
        <v>7</v>
      </c>
      <c r="G6" s="33" t="n">
        <v>12</v>
      </c>
      <c r="H6" s="34" t="str">
        <f aca="false">IF(C6&gt;=D6,"● On Target",IF(C6&gt;=F6,"● Near","● Off Target"))</f>
        <v>● On Target</v>
      </c>
      <c r="I6" s="35" t="s">
        <v>142</v>
      </c>
      <c r="J6" s="36" t="s">
        <v>143</v>
      </c>
    </row>
    <row r="7" customFormat="false" ht="21.75" hidden="false" customHeight="true" outlineLevel="0" collapsed="false">
      <c r="B7" s="31" t="s">
        <v>144</v>
      </c>
      <c r="C7" s="37" t="n">
        <v>15</v>
      </c>
      <c r="D7" s="37" t="n">
        <v>25</v>
      </c>
      <c r="E7" s="38" t="n">
        <v>35</v>
      </c>
      <c r="F7" s="38" t="n">
        <v>22</v>
      </c>
      <c r="G7" s="38" t="n">
        <v>12</v>
      </c>
      <c r="H7" s="34" t="str">
        <f aca="false">IF(C7&lt;=D7,"● On Target",IF(C7&lt;=F7,"● Near","● Off Target"))</f>
        <v>● On Target</v>
      </c>
      <c r="I7" s="35" t="s">
        <v>145</v>
      </c>
      <c r="J7" s="36" t="s">
        <v>146</v>
      </c>
    </row>
    <row r="8" customFormat="false" ht="21.75" hidden="false" customHeight="true" outlineLevel="0" collapsed="false">
      <c r="B8" s="31" t="s">
        <v>147</v>
      </c>
      <c r="C8" s="37" t="n">
        <v>82</v>
      </c>
      <c r="D8" s="37" t="n">
        <v>95</v>
      </c>
      <c r="E8" s="38" t="n">
        <v>98</v>
      </c>
      <c r="F8" s="38" t="n">
        <v>88</v>
      </c>
      <c r="G8" s="38" t="n">
        <v>75</v>
      </c>
      <c r="H8" s="34" t="str">
        <f aca="false">IF(C8&gt;=D8,"● On Target",IF(C8&gt;=F8,"● Near","● Off Target"))</f>
        <v>● Off Target</v>
      </c>
      <c r="I8" s="35" t="s">
        <v>148</v>
      </c>
      <c r="J8" s="36" t="s">
        <v>149</v>
      </c>
    </row>
    <row r="9" customFormat="false" ht="21.75" hidden="false" customHeight="true" outlineLevel="0" collapsed="false">
      <c r="B9" s="31" t="s">
        <v>150</v>
      </c>
      <c r="C9" s="37" t="n">
        <v>70</v>
      </c>
      <c r="D9" s="37" t="n">
        <v>95</v>
      </c>
      <c r="E9" s="38" t="n">
        <v>98</v>
      </c>
      <c r="F9" s="38" t="n">
        <v>85</v>
      </c>
      <c r="G9" s="38" t="n">
        <v>65</v>
      </c>
      <c r="H9" s="34" t="str">
        <f aca="false">IF(C9&gt;=D9,"● On Target",IF(C9&gt;=F9,"● Near","● Off Target"))</f>
        <v>● Off Target</v>
      </c>
      <c r="I9" s="35" t="s">
        <v>151</v>
      </c>
      <c r="J9" s="36" t="s">
        <v>152</v>
      </c>
    </row>
    <row r="10" customFormat="false" ht="21.75" hidden="false" customHeight="true" outlineLevel="0" collapsed="false">
      <c r="B10" s="31" t="s">
        <v>153</v>
      </c>
      <c r="C10" s="37" t="n">
        <v>18</v>
      </c>
      <c r="D10" s="37" t="n">
        <v>10</v>
      </c>
      <c r="E10" s="38" t="n">
        <v>8</v>
      </c>
      <c r="F10" s="38" t="n">
        <v>15</v>
      </c>
      <c r="G10" s="38" t="n">
        <v>25</v>
      </c>
      <c r="H10" s="34" t="str">
        <f aca="false">IF(C10&gt;=D10,"● On Target",IF(C10&gt;=F10,"● Near","● Off Target"))</f>
        <v>● On Target</v>
      </c>
      <c r="I10" s="35" t="s">
        <v>154</v>
      </c>
      <c r="J10" s="36" t="s">
        <v>155</v>
      </c>
    </row>
    <row r="11" customFormat="false" ht="21.75" hidden="false" customHeight="true" outlineLevel="0" collapsed="false">
      <c r="B11" s="31" t="s">
        <v>156</v>
      </c>
      <c r="C11" s="37" t="n">
        <v>85</v>
      </c>
      <c r="D11" s="37" t="n">
        <v>95</v>
      </c>
      <c r="E11" s="38" t="n">
        <v>98</v>
      </c>
      <c r="F11" s="38" t="n">
        <v>90</v>
      </c>
      <c r="G11" s="38" t="n">
        <v>75</v>
      </c>
      <c r="H11" s="34" t="str">
        <f aca="false">IF(C11&gt;=D11,"● On Target",IF(C11&gt;=F11,"● Near","● Off Target"))</f>
        <v>● Off Target</v>
      </c>
      <c r="I11" s="35" t="s">
        <v>157</v>
      </c>
      <c r="J11" s="36" t="s">
        <v>158</v>
      </c>
    </row>
    <row r="12" customFormat="false" ht="21.75" hidden="false" customHeight="true" outlineLevel="0" collapsed="false">
      <c r="B12" s="31" t="s">
        <v>159</v>
      </c>
      <c r="C12" s="37" t="n">
        <v>75</v>
      </c>
      <c r="D12" s="37" t="n">
        <v>90</v>
      </c>
      <c r="E12" s="38" t="n">
        <v>100</v>
      </c>
      <c r="F12" s="38" t="n">
        <v>85</v>
      </c>
      <c r="G12" s="38" t="n">
        <v>65</v>
      </c>
      <c r="H12" s="34" t="str">
        <f aca="false">IF(C12&gt;=D12,"● On Target",IF(C12&gt;=F12,"● Near","● Off Target"))</f>
        <v>● Off Target</v>
      </c>
      <c r="I12" s="35" t="s">
        <v>160</v>
      </c>
      <c r="J12" s="36" t="s">
        <v>161</v>
      </c>
    </row>
    <row r="13" customFormat="false" ht="21.75" hidden="false" customHeight="true" outlineLevel="0" collapsed="false">
      <c r="B13" s="31" t="s">
        <v>162</v>
      </c>
      <c r="C13" s="32" t="n">
        <v>3</v>
      </c>
      <c r="D13" s="32" t="n">
        <v>4.5</v>
      </c>
      <c r="E13" s="33" t="n">
        <v>4.8</v>
      </c>
      <c r="F13" s="33" t="n">
        <v>4</v>
      </c>
      <c r="G13" s="33" t="n">
        <v>3</v>
      </c>
      <c r="H13" s="34" t="str">
        <f aca="false">IF(C13&gt;=D13,"● On Target",IF(C13&gt;=F13,"● Near","● Off Target"))</f>
        <v>● Off Target</v>
      </c>
      <c r="I13" s="35" t="s">
        <v>163</v>
      </c>
      <c r="J13" s="36" t="s">
        <v>164</v>
      </c>
    </row>
    <row r="15" customFormat="false" ht="15" hidden="false" customHeight="false" outlineLevel="0" collapsed="false">
      <c r="B15" s="39" t="s">
        <v>165</v>
      </c>
    </row>
  </sheetData>
  <mergeCells count="2">
    <mergeCell ref="B2:J2"/>
    <mergeCell ref="B3:J3"/>
  </mergeCells>
  <conditionalFormatting sqref="H6:H13">
    <cfRule type="expression" priority="2" aboveAverage="0" equalAverage="0" bottom="0" percent="0" rank="0" text="" dxfId="0">
      <formula>ISNUMBER(SEARCH("On Target",H6))</formula>
    </cfRule>
    <cfRule type="expression" priority="3" aboveAverage="0" equalAverage="0" bottom="0" percent="0" rank="0" text="" dxfId="1">
      <formula>ISNUMBER(SEARCH("Near",H6))</formula>
    </cfRule>
    <cfRule type="expression" priority="4" aboveAverage="0" equalAverage="0" bottom="0" percent="0" rank="0" text="" dxfId="2">
      <formula>ISNUMBER(SEARCH("Off Target",H6))</formula>
    </cfRule>
  </conditionalFormatting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80</v>
      </c>
      <c r="B1" s="0" t="s">
        <v>166</v>
      </c>
      <c r="C1" s="0" t="s">
        <v>167</v>
      </c>
    </row>
    <row r="2" customFormat="false" ht="15" hidden="false" customHeight="false" outlineLevel="0" collapsed="false">
      <c r="A2" s="0" t="s">
        <v>84</v>
      </c>
      <c r="B2" s="0" t="s">
        <v>168</v>
      </c>
      <c r="C2" s="0" t="s">
        <v>107</v>
      </c>
    </row>
    <row r="3" customFormat="false" ht="15" hidden="false" customHeight="false" outlineLevel="0" collapsed="false">
      <c r="A3" s="0" t="s">
        <v>87</v>
      </c>
      <c r="B3" s="0" t="s">
        <v>169</v>
      </c>
      <c r="C3" s="0" t="s">
        <v>87</v>
      </c>
    </row>
    <row r="4" customFormat="false" ht="15" hidden="false" customHeight="false" outlineLevel="0" collapsed="false">
      <c r="A4" s="0" t="s">
        <v>100</v>
      </c>
      <c r="B4" s="0" t="s">
        <v>170</v>
      </c>
      <c r="C4" s="0" t="s">
        <v>84</v>
      </c>
    </row>
    <row r="5" customFormat="false" ht="15" hidden="false" customHeight="false" outlineLevel="0" collapsed="false">
      <c r="A5" s="0" t="s">
        <v>107</v>
      </c>
      <c r="B5" s="0" t="s">
        <v>171</v>
      </c>
      <c r="C5" s="0" t="s">
        <v>172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2026-05-26T06:45:02Z</dcterms:created>
  <dc:creator>openpyxl</dc:creator>
  <dc:description/>
  <dc:language>en-US</dc:language>
  <cp:lastModifiedBy/>
  <dcterms:modified xsi:type="dcterms:W3CDTF">2026-05-26T06:45:02Z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