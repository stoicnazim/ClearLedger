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IPOC" sheetId="3" state="visible" r:id="rId5"/>
    <sheet name="RACI Matrix" sheetId="4" state="visible" r:id="rId6"/>
    <sheet name="KPI Scorecard" sheetId="5" state="visible" r:id="rId7"/>
    <sheet name="Benchmarks" sheetId="6" state="visible" r:id="rId8"/>
    <sheet name="List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<sst xmlns="http://schemas.openxmlformats.org/spreadsheetml/2006/main" count="228" uniqueCount="162">
  <si>
    <t xml:space="preserve">ClearLedger Advisory</t>
  </si>
  <si>
    <t xml:space="preserve">Customer Onboarding</t>
  </si>
  <si>
    <t xml:space="preserve">Playbook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</si>
  <si>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</si>
  <si>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</si>
  <si>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</si>
  <si>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</si>
  <si>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</si>
  <si>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</si>
  <si>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</si>
  <si>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</si>
  <si>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</si>
  <si>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</si>
  <si>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</si>
  <si>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</si>
  <si>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</si>
  <si>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</si>
  <si>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Master-data and onboarding framework: customer setup SIPOC, RACI, KPI scorecard, and benchmarks covering cycle time, data accuracy, duplicate rate, and KYC compliance.</t>
  </si>
  <si>
    <t xml:space="preserve">  CONTENTS</t>
  </si>
  <si>
    <t xml:space="preserve">01</t>
  </si>
  <si>
    <t xml:space="preserve">SIPOC</t>
  </si>
  <si>
    <t xml:space="preserve">Suppliers → Inputs → Process → Outputs → Customers</t>
  </si>
  <si>
    <t xml:space="preserve">02</t>
  </si>
  <si>
    <t xml:space="preserve">RACI Matrix</t>
  </si>
  <si>
    <t xml:space="preserve">Activities with role assignments</t>
  </si>
  <si>
    <t xml:space="preserve">03</t>
  </si>
  <si>
    <t xml:space="preserve">KPI Scorecard</t>
  </si>
  <si>
    <t xml:space="preserve">KPIs · APQC v8.0 benchmarks · RAG status</t>
  </si>
  <si>
    <t xml:space="preserve">04</t>
  </si>
  <si>
    <t xml:space="preserve">Benchmarks</t>
  </si>
  <si>
    <t xml:space="preserve">APQC / Hackett reference data</t>
  </si>
  <si>
    <t xml:space="preserve">APQC PCF v8.0: 8.2 Manage Customer Master Data</t>
  </si>
  <si>
    <t xml:space="preserve">How to Use This Pack</t>
  </si>
  <si>
    <t xml:space="preserve">Follow these steps from diagnostic to deployment</t>
  </si>
  <si>
    <t xml:space="preserve">Step 1</t>
  </si>
  <si>
    <t xml:space="preserve">Map Process</t>
  </si>
  <si>
    <t xml:space="preserve">Review SIPOC for onboarding scope.</t>
  </si>
  <si>
    <t xml:space="preserve">Step 2</t>
  </si>
  <si>
    <t xml:space="preserve">Assign RACI</t>
  </si>
  <si>
    <t xml:space="preserve">Step 3</t>
  </si>
  <si>
    <t xml:space="preserve">Configure SOPs</t>
  </si>
  <si>
    <t xml:space="preserve">Adapt onboarding and credit SOPs.</t>
  </si>
  <si>
    <t xml:space="preserve">Step 4</t>
  </si>
  <si>
    <t xml:space="preserve">Track Quality</t>
  </si>
  <si>
    <t xml:space="preserve">Use data checklist to ensure completeness.</t>
  </si>
  <si>
    <t xml:space="preserve">  ▸ Blue cells are inputs you edit. Black values are formula-driven — do not overtype them.</t>
  </si>
  <si>
    <t xml:space="preserve">SIPOC — Customer Onboarding</t>
  </si>
  <si>
    <t xml:space="preserve">APQC PCF v8.0: 8.3.1.1</t>
  </si>
  <si>
    <t xml:space="preserve">Suppliers</t>
  </si>
  <si>
    <t xml:space="preserve">Inputs</t>
  </si>
  <si>
    <t xml:space="preserve">Process Steps</t>
  </si>
  <si>
    <t xml:space="preserve">Outputs</t>
  </si>
  <si>
    <t xml:space="preserve">Customers</t>
  </si>
  <si>
    <t xml:space="preserve">APQC</t>
  </si>
  <si>
    <t xml:space="preserve">Sales</t>
  </si>
  <si>
    <t xml:space="preserve">Signed contract + KYC</t>
  </si>
  <si>
    <t xml:space="preserve">1. Receive onboarding request</t>
  </si>
  <si>
    <t xml:space="preserve">Customer master created</t>
  </si>
  <si>
    <t xml:space="preserve">AR Team</t>
  </si>
  <si>
    <t xml:space="preserve">8.3.1.1.1</t>
  </si>
  <si>
    <t xml:space="preserve">Credit Team</t>
  </si>
  <si>
    <t xml:space="preserve">Credit application</t>
  </si>
  <si>
    <t xml:space="preserve">2. Assess credit</t>
  </si>
  <si>
    <t xml:space="preserve">Credit limit assigned</t>
  </si>
  <si>
    <t xml:space="preserve">Collections</t>
  </si>
  <si>
    <t xml:space="preserve">8.3.1.1.2</t>
  </si>
  <si>
    <t xml:space="preserve">IT</t>
  </si>
  <si>
    <t xml:space="preserve">ERP access config</t>
  </si>
  <si>
    <t xml:space="preserve">3. Setup in ERP</t>
  </si>
  <si>
    <t xml:space="preserve">ERP customer record</t>
  </si>
  <si>
    <t xml:space="preserve">Billing</t>
  </si>
  <si>
    <t xml:space="preserve">8.3.1.1.3</t>
  </si>
  <si>
    <t xml:space="preserve">Sales/Legal</t>
  </si>
  <si>
    <t xml:space="preserve">Pricing + terms</t>
  </si>
  <si>
    <t xml:space="preserve">4. Configure pricing</t>
  </si>
  <si>
    <t xml:space="preserve">Pricing in system</t>
  </si>
  <si>
    <t xml:space="preserve">Customer</t>
  </si>
  <si>
    <t xml:space="preserve">8.3.1.1.4</t>
  </si>
  <si>
    <t xml:space="preserve">Portal access setup</t>
  </si>
  <si>
    <t xml:space="preserve">5. Setup portal/EDI</t>
  </si>
  <si>
    <t xml:space="preserve">Self-serve access</t>
  </si>
  <si>
    <t xml:space="preserve">Reporting</t>
  </si>
  <si>
    <t xml:space="preserve">8.3.1.1.5</t>
  </si>
  <si>
    <t xml:space="preserve">Payment preference</t>
  </si>
  <si>
    <t xml:space="preserve">6. Configure payments</t>
  </si>
  <si>
    <t xml:space="preserve">Payment method setup</t>
  </si>
  <si>
    <t xml:space="preserve">Treasury</t>
  </si>
  <si>
    <t xml:space="preserve">8.3.1.1.6</t>
  </si>
  <si>
    <t xml:space="preserve">RACI — Onboarding</t>
  </si>
  <si>
    <t xml:space="preserve">R=Resp, A=Account, C=Consult, I=Info</t>
  </si>
  <si>
    <t xml:space="preserve">Activity</t>
  </si>
  <si>
    <t xml:space="preserve">Credit</t>
  </si>
  <si>
    <t xml:space="preserve">Legal</t>
  </si>
  <si>
    <t xml:space="preserve">Submit onboarding request</t>
  </si>
  <si>
    <t xml:space="preserve">A</t>
  </si>
  <si>
    <t xml:space="preserve">C</t>
  </si>
  <si>
    <t xml:space="preserve">I</t>
  </si>
  <si>
    <t xml:space="preserve">Complete KYC docs</t>
  </si>
  <si>
    <t xml:space="preserve">R</t>
  </si>
  <si>
    <t xml:space="preserve">Assess credit</t>
  </si>
  <si>
    <t xml:space="preserve">Assign credit limit</t>
  </si>
  <si>
    <t xml:space="preserve">Setup master in ERP</t>
  </si>
  <si>
    <t xml:space="preserve">Configure pricing</t>
  </si>
  <si>
    <t xml:space="preserve">Setup bank/remittance</t>
  </si>
  <si>
    <t xml:space="preserve">Setup portal/EDI</t>
  </si>
  <si>
    <t xml:space="preserve">Configure e-invoicing</t>
  </si>
  <si>
    <t xml:space="preserve">Test invoice delivery</t>
  </si>
  <si>
    <t xml:space="preserve">Setup payment method</t>
  </si>
  <si>
    <t xml:space="preserve">Handover to BAU</t>
  </si>
  <si>
    <t xml:space="preserve">KPI Scorecard — Onboarding</t>
  </si>
  <si>
    <t xml:space="preserve">Blue = editable</t>
  </si>
  <si>
    <t xml:space="preserve">KPI</t>
  </si>
  <si>
    <t xml:space="preserve">Current</t>
  </si>
  <si>
    <t xml:space="preserve">Target</t>
  </si>
  <si>
    <t xml:space="preserve">Top</t>
  </si>
  <si>
    <t xml:space="preserve">Median</t>
  </si>
  <si>
    <t xml:space="preserve">Bottom</t>
  </si>
  <si>
    <t xml:space="preserve">Status</t>
  </si>
  <si>
    <t xml:space="preserve">Definition</t>
  </si>
  <si>
    <t xml:space="preserve">Onboarding Cycle Time (days)</t>
  </si>
  <si>
    <t xml:space="preserve">Contract-to-active customer</t>
  </si>
  <si>
    <t xml:space="preserve">Credit Assessment Time (days)</t>
  </si>
  <si>
    <t xml:space="preserve">App to limit assigned</t>
  </si>
  <si>
    <t xml:space="preserve">Master Data Accuracy (%)</t>
  </si>
  <si>
    <t xml:space="preserve">Complete ÷ Total records</t>
  </si>
  <si>
    <t xml:space="preserve">First Invoice Accuracy (%)</t>
  </si>
  <si>
    <t xml:space="preserve">First invoice correct ÷ Total</t>
  </si>
  <si>
    <t xml:space="preserve">Portal Activation (%)</t>
  </si>
  <si>
    <t xml:space="preserve">Activated ÷ Total customers</t>
  </si>
  <si>
    <t xml:space="preserve">EDI/Peppol Adoption (%)</t>
  </si>
  <si>
    <t xml:space="preserve">E-connected ÷ Total</t>
  </si>
  <si>
    <t xml:space="preserve">Rejected Setup Rate (%)</t>
  </si>
  <si>
    <t xml:space="preserve">Rework ÷ Total setups</t>
  </si>
  <si>
    <t xml:space="preserve">Onboarding Cost (€)</t>
  </si>
  <si>
    <t xml:space="preserve">8.3.1.1.7</t>
  </si>
  <si>
    <t xml:space="preserve">Total cost ÷ Customers onboarded</t>
  </si>
  <si>
    <t xml:space="preserve">Average</t>
  </si>
  <si>
    <t xml:space="preserve">—</t>
  </si>
  <si>
    <t xml:space="preserve">RAG status compares Current vs Target (direction-aware). Edit blue cells to update.</t>
  </si>
  <si>
    <t xml:space="preserve">APQC / HACKETT — Onboarding Benchmarks</t>
  </si>
  <si>
    <t xml:space="preserve">APQC PCF v8.0 + Hackett 2026</t>
  </si>
  <si>
    <t xml:space="preserve">Metric</t>
  </si>
  <si>
    <t xml:space="preserve">Source</t>
  </si>
  <si>
    <t xml:space="preserve">APQC v8.0</t>
  </si>
  <si>
    <t xml:space="preserve">Hackett 2026</t>
  </si>
  <si>
    <t xml:space="preserve">Setup Cost (€)</t>
  </si>
  <si>
    <t xml:space="preserve">Rejected Setup (%)</t>
  </si>
  <si>
    <t xml:space="preserve">Segment</t>
  </si>
  <si>
    <t xml:space="preserve">Credit Tier</t>
  </si>
  <si>
    <t xml:space="preserve">Setup Status</t>
  </si>
  <si>
    <t xml:space="preserve">Enterprise</t>
  </si>
  <si>
    <t xml:space="preserve">A - Low Risk</t>
  </si>
  <si>
    <t xml:space="preserve">Pending</t>
  </si>
  <si>
    <t xml:space="preserve">Mid-Market</t>
  </si>
  <si>
    <t xml:space="preserve">B - Medium</t>
  </si>
  <si>
    <t xml:space="preserve">In Progress</t>
  </si>
  <si>
    <t xml:space="preserve">Small Business</t>
  </si>
  <si>
    <t xml:space="preserve">C - High</t>
  </si>
  <si>
    <t xml:space="preserve">Completed</t>
  </si>
  <si>
    <t xml:space="preserve">D - Prepay</t>
  </si>
  <si>
    <t xml:space="preserve">Rejected</t>
  </si>
  <si>
    <t xml:space="preserve">On Hold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</si>
</sst>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\%"/>
    <numFmt numFmtId="167" formatCode="\€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  <fill>
      <patternFill patternType="solid">
        <fgColor rgb="FFB91C1C"/>
        <bgColor rgb="FF993366"/>
      </patternFill>
    </fill>
    <fill>
      <patternFill patternType="solid">
        <fgColor rgb="FFB45309"/>
        <bgColor rgb="FF993366"/>
      </patternFill>
    </fill>
    <fill>
      <patternFill patternType="solid">
        <fgColor rgb="FF64748B"/>
        <bgColor rgb="FF6E7681"/>
      </patternFill>
    </fill>
    <fill>
      <patternFill patternType="solid">
        <fgColor rgb="FF047857"/>
        <bgColor rgb="FF0E749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47857"/>
        <sz val="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D1FAE5"/>
      <rgbColor rgb="FFFEE2E2"/>
      <rgbColor rgb="FFF1F5F9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21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22</v>
      </c>
      <c r="C27" s="14" t="s">
        <v>23</v>
      </c>
      <c r="D27" s="14"/>
      <c r="E27" s="15" t="s">
        <v>24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25</v>
      </c>
      <c r="C28" s="14" t="s">
        <v>26</v>
      </c>
      <c r="D28" s="14"/>
      <c r="E28" s="15" t="s">
        <v>27</v>
      </c>
      <c r="F28" s="15"/>
      <c r="G28" s="15"/>
      <c r="H28" s="15"/>
      <c r="I28" s="15"/>
      <c r="J28" s="15"/>
      <c r="K28" s="1"/>
      <c r="L28" s="1"/>
    </row>
    <row r="29" customFormat="false" ht="18" hidden="false" customHeight="true" outlineLevel="0" collapsed="false">
      <c r="A29" s="1"/>
      <c r="B29" s="13" t="s">
        <v>28</v>
      </c>
      <c r="C29" s="14" t="s">
        <v>29</v>
      </c>
      <c r="D29" s="14"/>
      <c r="E29" s="15" t="s">
        <v>30</v>
      </c>
      <c r="F29" s="15"/>
      <c r="G29" s="15"/>
      <c r="H29" s="15"/>
      <c r="I29" s="15"/>
      <c r="J29" s="15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6" t="s">
        <v>31</v>
      </c>
      <c r="C31" s="16"/>
      <c r="D31" s="16"/>
      <c r="E31" s="16"/>
      <c r="F31" s="16"/>
      <c r="G31" s="16"/>
      <c r="H31" s="16"/>
      <c r="I31" s="16"/>
      <c r="J31" s="16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24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C29:D29"/>
    <mergeCell ref="E29:J29"/>
    <mergeCell ref="B31:J3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32</v>
      </c>
      <c r="C2" s="17"/>
    </row>
    <row r="3" customFormat="false" ht="15.75" hidden="false" customHeight="true" outlineLevel="0" collapsed="false">
      <c r="B3" s="18" t="s">
        <v>33</v>
      </c>
      <c r="C3" s="18"/>
    </row>
    <row r="5" customFormat="false" ht="21.75" hidden="false" customHeight="true" outlineLevel="0" collapsed="false">
      <c r="B5" s="19" t="s">
        <v>34</v>
      </c>
      <c r="C5" s="20" t="s">
        <v>35</v>
      </c>
    </row>
    <row r="6" customFormat="false" ht="30" hidden="false" customHeight="true" outlineLevel="0" collapsed="false">
      <c r="B6" s="21"/>
      <c r="C6" s="22" t="s">
        <v>36</v>
      </c>
    </row>
    <row r="7" customFormat="false" ht="21.75" hidden="false" customHeight="true" outlineLevel="0" collapsed="false">
      <c r="B7" s="19" t="s">
        <v>37</v>
      </c>
      <c r="C7" s="20" t="s">
        <v>38</v>
      </c>
    </row>
    <row r="8" customFormat="false" ht="30" hidden="false" customHeight="true" outlineLevel="0" collapsed="false">
      <c r="B8" s="21"/>
      <c r="C8" s="22"/>
    </row>
    <row r="9" customFormat="false" ht="21.75" hidden="false" customHeight="true" outlineLevel="0" collapsed="false">
      <c r="B9" s="19" t="s">
        <v>39</v>
      </c>
      <c r="C9" s="20" t="s">
        <v>40</v>
      </c>
    </row>
    <row r="10" customFormat="false" ht="30" hidden="false" customHeight="true" outlineLevel="0" collapsed="false">
      <c r="B10" s="21"/>
      <c r="C10" s="22" t="s">
        <v>41</v>
      </c>
    </row>
    <row r="11" customFormat="false" ht="21.75" hidden="false" customHeight="true" outlineLevel="0" collapsed="false">
      <c r="B11" s="19" t="s">
        <v>42</v>
      </c>
      <c r="C11" s="20" t="s">
        <v>43</v>
      </c>
    </row>
    <row r="12" customFormat="false" ht="30" hidden="false" customHeight="true" outlineLevel="0" collapsed="false">
      <c r="B12" s="21"/>
      <c r="C12" s="22" t="s">
        <v>44</v>
      </c>
    </row>
    <row r="14" customFormat="false" ht="24" hidden="false" customHeight="true" outlineLevel="0" collapsed="false">
      <c r="B14" s="23" t="s">
        <v>45</v>
      </c>
      <c r="C14" s="23"/>
    </row>
  </sheetData>
  <mergeCells count="3">
    <mergeCell ref="B2:C2"/>
    <mergeCell ref="B3:C3"/>
    <mergeCell ref="B14:C1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3"/>
    <col collapsed="false" customWidth="true" hidden="false" outlineLevel="0" max="4" min="4" style="0" width="31"/>
    <col collapsed="false" customWidth="true" hidden="false" outlineLevel="0" max="5" min="5" style="0" width="25"/>
    <col collapsed="false" customWidth="true" hidden="false" outlineLevel="0" max="6" min="6" style="0" width="13"/>
    <col collapsed="false" customWidth="true" hidden="false" outlineLevel="0" max="7" min="7" style="0" width="12"/>
  </cols>
  <sheetData>
    <row r="2" customFormat="false" ht="30" hidden="false" customHeight="true" outlineLevel="0" collapsed="false">
      <c r="B2" s="17" t="s">
        <v>46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47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48</v>
      </c>
      <c r="C5" s="24" t="s">
        <v>49</v>
      </c>
      <c r="D5" s="24" t="s">
        <v>50</v>
      </c>
      <c r="E5" s="24" t="s">
        <v>51</v>
      </c>
      <c r="F5" s="24" t="s">
        <v>52</v>
      </c>
      <c r="G5" s="24" t="s">
        <v>53</v>
      </c>
    </row>
    <row r="6" customFormat="false" ht="27.75" hidden="false" customHeight="true" outlineLevel="0" collapsed="false">
      <c r="B6" s="25" t="s">
        <v>54</v>
      </c>
      <c r="C6" s="26" t="s">
        <v>55</v>
      </c>
      <c r="D6" s="26" t="s">
        <v>56</v>
      </c>
      <c r="E6" s="26" t="s">
        <v>57</v>
      </c>
      <c r="F6" s="26" t="s">
        <v>58</v>
      </c>
      <c r="G6" s="26" t="s">
        <v>59</v>
      </c>
    </row>
    <row r="7" customFormat="false" ht="27.75" hidden="false" customHeight="true" outlineLevel="0" collapsed="false">
      <c r="B7" s="27" t="s">
        <v>60</v>
      </c>
      <c r="C7" s="28" t="s">
        <v>61</v>
      </c>
      <c r="D7" s="28" t="s">
        <v>62</v>
      </c>
      <c r="E7" s="28" t="s">
        <v>63</v>
      </c>
      <c r="F7" s="28" t="s">
        <v>64</v>
      </c>
      <c r="G7" s="28" t="s">
        <v>65</v>
      </c>
    </row>
    <row r="8" customFormat="false" ht="27.75" hidden="false" customHeight="true" outlineLevel="0" collapsed="false">
      <c r="B8" s="25" t="s">
        <v>66</v>
      </c>
      <c r="C8" s="26" t="s">
        <v>67</v>
      </c>
      <c r="D8" s="26" t="s">
        <v>68</v>
      </c>
      <c r="E8" s="26" t="s">
        <v>69</v>
      </c>
      <c r="F8" s="26" t="s">
        <v>70</v>
      </c>
      <c r="G8" s="26" t="s">
        <v>71</v>
      </c>
    </row>
    <row r="9" customFormat="false" ht="27.75" hidden="false" customHeight="true" outlineLevel="0" collapsed="false">
      <c r="B9" s="27" t="s">
        <v>72</v>
      </c>
      <c r="C9" s="28" t="s">
        <v>73</v>
      </c>
      <c r="D9" s="28" t="s">
        <v>74</v>
      </c>
      <c r="E9" s="28" t="s">
        <v>75</v>
      </c>
      <c r="F9" s="28" t="s">
        <v>76</v>
      </c>
      <c r="G9" s="28" t="s">
        <v>77</v>
      </c>
    </row>
    <row r="10" customFormat="false" ht="27.75" hidden="false" customHeight="true" outlineLevel="0" collapsed="false">
      <c r="B10" s="25" t="s">
        <v>66</v>
      </c>
      <c r="C10" s="26" t="s">
        <v>78</v>
      </c>
      <c r="D10" s="26" t="s">
        <v>79</v>
      </c>
      <c r="E10" s="26" t="s">
        <v>80</v>
      </c>
      <c r="F10" s="26" t="s">
        <v>81</v>
      </c>
      <c r="G10" s="26" t="s">
        <v>82</v>
      </c>
    </row>
    <row r="11" customFormat="false" ht="27.75" hidden="false" customHeight="true" outlineLevel="0" collapsed="false">
      <c r="B11" s="27" t="s">
        <v>76</v>
      </c>
      <c r="C11" s="28" t="s">
        <v>83</v>
      </c>
      <c r="D11" s="28" t="s">
        <v>84</v>
      </c>
      <c r="E11" s="28" t="s">
        <v>85</v>
      </c>
      <c r="F11" s="28" t="s">
        <v>86</v>
      </c>
      <c r="G11" s="28" t="s">
        <v>87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7" min="3" style="0" width="12"/>
  </cols>
  <sheetData>
    <row r="2" customFormat="false" ht="30" hidden="false" customHeight="true" outlineLevel="0" collapsed="false">
      <c r="B2" s="17" t="s">
        <v>88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89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90</v>
      </c>
      <c r="C5" s="24" t="s">
        <v>54</v>
      </c>
      <c r="D5" s="24" t="s">
        <v>91</v>
      </c>
      <c r="E5" s="24" t="s">
        <v>58</v>
      </c>
      <c r="F5" s="24" t="s">
        <v>66</v>
      </c>
      <c r="G5" s="24" t="s">
        <v>92</v>
      </c>
    </row>
    <row r="6" customFormat="false" ht="27.75" hidden="false" customHeight="true" outlineLevel="0" collapsed="false">
      <c r="B6" s="25" t="s">
        <v>93</v>
      </c>
      <c r="C6" s="29" t="s">
        <v>94</v>
      </c>
      <c r="D6" s="30" t="s">
        <v>95</v>
      </c>
      <c r="E6" s="31" t="s">
        <v>96</v>
      </c>
      <c r="F6" s="26"/>
      <c r="G6" s="30" t="s">
        <v>95</v>
      </c>
    </row>
    <row r="7" customFormat="false" ht="27.75" hidden="false" customHeight="true" outlineLevel="0" collapsed="false">
      <c r="B7" s="27" t="s">
        <v>97</v>
      </c>
      <c r="C7" s="29" t="s">
        <v>94</v>
      </c>
      <c r="D7" s="32" t="s">
        <v>98</v>
      </c>
      <c r="E7" s="31" t="s">
        <v>96</v>
      </c>
      <c r="F7" s="28"/>
      <c r="G7" s="30" t="s">
        <v>95</v>
      </c>
    </row>
    <row r="8" customFormat="false" ht="27.75" hidden="false" customHeight="true" outlineLevel="0" collapsed="false">
      <c r="B8" s="25" t="s">
        <v>99</v>
      </c>
      <c r="C8" s="31" t="s">
        <v>96</v>
      </c>
      <c r="D8" s="29" t="s">
        <v>94</v>
      </c>
      <c r="E8" s="30" t="s">
        <v>95</v>
      </c>
      <c r="F8" s="31" t="s">
        <v>96</v>
      </c>
      <c r="G8" s="26"/>
    </row>
    <row r="9" customFormat="false" ht="27.75" hidden="false" customHeight="true" outlineLevel="0" collapsed="false">
      <c r="B9" s="27" t="s">
        <v>100</v>
      </c>
      <c r="C9" s="30" t="s">
        <v>95</v>
      </c>
      <c r="D9" s="29" t="s">
        <v>94</v>
      </c>
      <c r="E9" s="32" t="s">
        <v>98</v>
      </c>
      <c r="F9" s="28"/>
      <c r="G9" s="30" t="s">
        <v>95</v>
      </c>
    </row>
    <row r="10" customFormat="false" ht="27.75" hidden="false" customHeight="true" outlineLevel="0" collapsed="false">
      <c r="B10" s="25" t="s">
        <v>101</v>
      </c>
      <c r="C10" s="30" t="s">
        <v>95</v>
      </c>
      <c r="D10" s="26"/>
      <c r="E10" s="29" t="s">
        <v>94</v>
      </c>
      <c r="F10" s="32" t="s">
        <v>98</v>
      </c>
      <c r="G10" s="26"/>
    </row>
    <row r="11" customFormat="false" ht="27.75" hidden="false" customHeight="true" outlineLevel="0" collapsed="false">
      <c r="B11" s="27" t="s">
        <v>102</v>
      </c>
      <c r="C11" s="32" t="s">
        <v>98</v>
      </c>
      <c r="D11" s="31" t="s">
        <v>96</v>
      </c>
      <c r="E11" s="29" t="s">
        <v>94</v>
      </c>
      <c r="F11" s="28"/>
      <c r="G11" s="30" t="s">
        <v>95</v>
      </c>
    </row>
    <row r="12" customFormat="false" ht="27.75" hidden="false" customHeight="true" outlineLevel="0" collapsed="false">
      <c r="B12" s="25" t="s">
        <v>103</v>
      </c>
      <c r="C12" s="31" t="s">
        <v>96</v>
      </c>
      <c r="D12" s="26"/>
      <c r="E12" s="29" t="s">
        <v>94</v>
      </c>
      <c r="F12" s="32" t="s">
        <v>98</v>
      </c>
      <c r="G12" s="26"/>
    </row>
    <row r="13" customFormat="false" ht="27.75" hidden="false" customHeight="true" outlineLevel="0" collapsed="false">
      <c r="B13" s="27" t="s">
        <v>104</v>
      </c>
      <c r="C13" s="30" t="s">
        <v>95</v>
      </c>
      <c r="D13" s="28"/>
      <c r="E13" s="32" t="s">
        <v>98</v>
      </c>
      <c r="F13" s="29" t="s">
        <v>94</v>
      </c>
      <c r="G13" s="28"/>
    </row>
    <row r="14" customFormat="false" ht="27.75" hidden="false" customHeight="true" outlineLevel="0" collapsed="false">
      <c r="B14" s="25" t="s">
        <v>105</v>
      </c>
      <c r="C14" s="31" t="s">
        <v>96</v>
      </c>
      <c r="D14" s="26"/>
      <c r="E14" s="32" t="s">
        <v>98</v>
      </c>
      <c r="F14" s="29" t="s">
        <v>94</v>
      </c>
      <c r="G14" s="30" t="s">
        <v>95</v>
      </c>
    </row>
    <row r="15" customFormat="false" ht="27.75" hidden="false" customHeight="true" outlineLevel="0" collapsed="false">
      <c r="B15" s="27" t="s">
        <v>106</v>
      </c>
      <c r="C15" s="31" t="s">
        <v>96</v>
      </c>
      <c r="D15" s="28"/>
      <c r="E15" s="29" t="s">
        <v>94</v>
      </c>
      <c r="F15" s="32" t="s">
        <v>98</v>
      </c>
      <c r="G15" s="28"/>
    </row>
    <row r="16" customFormat="false" ht="27.75" hidden="false" customHeight="true" outlineLevel="0" collapsed="false">
      <c r="B16" s="25" t="s">
        <v>107</v>
      </c>
      <c r="C16" s="30" t="s">
        <v>95</v>
      </c>
      <c r="D16" s="26"/>
      <c r="E16" s="29" t="s">
        <v>94</v>
      </c>
      <c r="F16" s="26"/>
      <c r="G16" s="31" t="s">
        <v>96</v>
      </c>
    </row>
    <row r="17" customFormat="false" ht="27.75" hidden="false" customHeight="true" outlineLevel="0" collapsed="false">
      <c r="B17" s="27" t="s">
        <v>108</v>
      </c>
      <c r="C17" s="31" t="s">
        <v>96</v>
      </c>
      <c r="D17" s="28"/>
      <c r="E17" s="29" t="s">
        <v>94</v>
      </c>
      <c r="F17" s="31" t="s">
        <v>96</v>
      </c>
      <c r="G17" s="28"/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</cols>
  <sheetData>
    <row r="2" customFormat="false" ht="30" hidden="false" customHeight="true" outlineLevel="0" collapsed="false">
      <c r="B2" s="33" t="s">
        <v>109</v>
      </c>
      <c r="C2" s="33"/>
      <c r="D2" s="33"/>
      <c r="E2" s="33"/>
      <c r="F2" s="33"/>
      <c r="G2" s="33"/>
      <c r="H2" s="33"/>
      <c r="I2" s="33"/>
      <c r="J2" s="33"/>
    </row>
    <row r="3" customFormat="false" ht="15.75" hidden="false" customHeight="true" outlineLevel="0" collapsed="false">
      <c r="B3" s="34" t="s">
        <v>110</v>
      </c>
      <c r="C3" s="34"/>
      <c r="D3" s="34"/>
      <c r="E3" s="34"/>
      <c r="F3" s="34"/>
      <c r="G3" s="34"/>
      <c r="H3" s="34"/>
      <c r="I3" s="34"/>
      <c r="J3" s="34"/>
    </row>
    <row r="5" customFormat="false" ht="25.5" hidden="false" customHeight="true" outlineLevel="0" collapsed="false">
      <c r="B5" s="24" t="s">
        <v>111</v>
      </c>
      <c r="C5" s="24" t="s">
        <v>112</v>
      </c>
      <c r="D5" s="24" t="s">
        <v>113</v>
      </c>
      <c r="E5" s="24" t="s">
        <v>114</v>
      </c>
      <c r="F5" s="24" t="s">
        <v>115</v>
      </c>
      <c r="G5" s="24" t="s">
        <v>116</v>
      </c>
      <c r="H5" s="24" t="s">
        <v>117</v>
      </c>
      <c r="I5" s="24" t="s">
        <v>53</v>
      </c>
      <c r="J5" s="24" t="s">
        <v>118</v>
      </c>
    </row>
    <row r="6" customFormat="false" ht="21.75" hidden="false" customHeight="true" outlineLevel="0" collapsed="false">
      <c r="B6" s="35" t="s">
        <v>119</v>
      </c>
      <c r="C6" s="36" t="n">
        <v>10</v>
      </c>
      <c r="D6" s="36" t="n">
        <v>5</v>
      </c>
      <c r="E6" s="37" t="n">
        <v>3</v>
      </c>
      <c r="F6" s="37" t="n">
        <v>7</v>
      </c>
      <c r="G6" s="37" t="n">
        <v>14</v>
      </c>
      <c r="H6" s="38" t="str">
        <f aca="false">IF(C6&lt;=D6,"● On Target",IF(C6&lt;=F6,"● Near","● Off Target"))</f>
        <v>● Off Target</v>
      </c>
      <c r="I6" s="39" t="s">
        <v>59</v>
      </c>
      <c r="J6" s="40" t="s">
        <v>120</v>
      </c>
    </row>
    <row r="7" customFormat="false" ht="21.75" hidden="false" customHeight="true" outlineLevel="0" collapsed="false">
      <c r="B7" s="35" t="s">
        <v>121</v>
      </c>
      <c r="C7" s="36" t="n">
        <v>5</v>
      </c>
      <c r="D7" s="36" t="n">
        <v>3</v>
      </c>
      <c r="E7" s="37" t="n">
        <v>1</v>
      </c>
      <c r="F7" s="37" t="n">
        <v>3</v>
      </c>
      <c r="G7" s="37" t="n">
        <v>7</v>
      </c>
      <c r="H7" s="38" t="str">
        <f aca="false">IF(C7&lt;=D7,"● On Target",IF(C7&lt;=F7,"● Near","● Off Target"))</f>
        <v>● Off Target</v>
      </c>
      <c r="I7" s="39" t="s">
        <v>65</v>
      </c>
      <c r="J7" s="40" t="s">
        <v>122</v>
      </c>
    </row>
    <row r="8" customFormat="false" ht="21.75" hidden="false" customHeight="true" outlineLevel="0" collapsed="false">
      <c r="B8" s="35" t="s">
        <v>123</v>
      </c>
      <c r="C8" s="41" t="n">
        <v>95</v>
      </c>
      <c r="D8" s="41" t="n">
        <v>99</v>
      </c>
      <c r="E8" s="42" t="n">
        <v>99.8</v>
      </c>
      <c r="F8" s="42" t="n">
        <v>97</v>
      </c>
      <c r="G8" s="42" t="n">
        <v>92</v>
      </c>
      <c r="H8" s="38" t="str">
        <f aca="false">IF(C8&gt;=D8,"● On Target",IF(C8&gt;=F8,"● Near","● Off Target"))</f>
        <v>● Off Target</v>
      </c>
      <c r="I8" s="39" t="s">
        <v>71</v>
      </c>
      <c r="J8" s="40" t="s">
        <v>124</v>
      </c>
    </row>
    <row r="9" customFormat="false" ht="21.75" hidden="false" customHeight="true" outlineLevel="0" collapsed="false">
      <c r="B9" s="35" t="s">
        <v>125</v>
      </c>
      <c r="C9" s="41" t="n">
        <v>94</v>
      </c>
      <c r="D9" s="41" t="n">
        <v>98</v>
      </c>
      <c r="E9" s="42" t="n">
        <v>99</v>
      </c>
      <c r="F9" s="42" t="n">
        <v>96</v>
      </c>
      <c r="G9" s="42" t="n">
        <v>90</v>
      </c>
      <c r="H9" s="38" t="str">
        <f aca="false">IF(C9&gt;=D9,"● On Target",IF(C9&gt;=F9,"● Near","● Off Target"))</f>
        <v>● Off Target</v>
      </c>
      <c r="I9" s="39" t="s">
        <v>77</v>
      </c>
      <c r="J9" s="40" t="s">
        <v>126</v>
      </c>
    </row>
    <row r="10" customFormat="false" ht="21.75" hidden="false" customHeight="true" outlineLevel="0" collapsed="false">
      <c r="B10" s="35" t="s">
        <v>127</v>
      </c>
      <c r="C10" s="41" t="n">
        <v>65</v>
      </c>
      <c r="D10" s="41" t="n">
        <v>85</v>
      </c>
      <c r="E10" s="42" t="n">
        <v>95</v>
      </c>
      <c r="F10" s="42" t="n">
        <v>75</v>
      </c>
      <c r="G10" s="42" t="n">
        <v>50</v>
      </c>
      <c r="H10" s="38" t="str">
        <f aca="false">IF(C10&gt;=D10,"● On Target",IF(C10&gt;=F10,"● Near","● Off Target"))</f>
        <v>● Off Target</v>
      </c>
      <c r="I10" s="39" t="s">
        <v>82</v>
      </c>
      <c r="J10" s="40" t="s">
        <v>128</v>
      </c>
    </row>
    <row r="11" customFormat="false" ht="21.75" hidden="false" customHeight="true" outlineLevel="0" collapsed="false">
      <c r="B11" s="35" t="s">
        <v>129</v>
      </c>
      <c r="C11" s="41" t="n">
        <v>45</v>
      </c>
      <c r="D11" s="41" t="n">
        <v>75</v>
      </c>
      <c r="E11" s="42" t="n">
        <v>90</v>
      </c>
      <c r="F11" s="42" t="n">
        <v>65</v>
      </c>
      <c r="G11" s="42" t="n">
        <v>35</v>
      </c>
      <c r="H11" s="38" t="str">
        <f aca="false">IF(C11&gt;=D11,"● On Target",IF(C11&gt;=F11,"● Near","● Off Target"))</f>
        <v>● Off Target</v>
      </c>
      <c r="I11" s="39" t="s">
        <v>82</v>
      </c>
      <c r="J11" s="40" t="s">
        <v>130</v>
      </c>
    </row>
    <row r="12" customFormat="false" ht="21.75" hidden="false" customHeight="true" outlineLevel="0" collapsed="false">
      <c r="B12" s="35" t="s">
        <v>131</v>
      </c>
      <c r="C12" s="41" t="n">
        <v>6</v>
      </c>
      <c r="D12" s="41" t="n">
        <v>3</v>
      </c>
      <c r="E12" s="42" t="n">
        <v>1</v>
      </c>
      <c r="F12" s="42" t="n">
        <v>4</v>
      </c>
      <c r="G12" s="42" t="n">
        <v>10</v>
      </c>
      <c r="H12" s="38" t="str">
        <f aca="false">IF(C12&gt;=D12,"● On Target",IF(C12&gt;=F12,"● Near","● Off Target"))</f>
        <v>● On Target</v>
      </c>
      <c r="I12" s="39" t="s">
        <v>71</v>
      </c>
      <c r="J12" s="40" t="s">
        <v>132</v>
      </c>
    </row>
    <row r="13" customFormat="false" ht="21.75" hidden="false" customHeight="true" outlineLevel="0" collapsed="false">
      <c r="B13" s="35" t="s">
        <v>133</v>
      </c>
      <c r="C13" s="43" t="n">
        <v>350</v>
      </c>
      <c r="D13" s="43" t="n">
        <v>200</v>
      </c>
      <c r="E13" s="44" t="n">
        <v>120</v>
      </c>
      <c r="F13" s="44" t="n">
        <v>250</v>
      </c>
      <c r="G13" s="44" t="n">
        <v>500</v>
      </c>
      <c r="H13" s="38" t="str">
        <f aca="false">IF(C13&lt;=D13,"● On Target",IF(C13&lt;=F13,"● Near","● Off Target"))</f>
        <v>● Off Target</v>
      </c>
      <c r="I13" s="39" t="s">
        <v>134</v>
      </c>
      <c r="J13" s="40" t="s">
        <v>135</v>
      </c>
    </row>
    <row r="14" customFormat="false" ht="21.75" hidden="false" customHeight="true" outlineLevel="0" collapsed="false">
      <c r="B14" s="35" t="s">
        <v>136</v>
      </c>
      <c r="C14" s="45"/>
      <c r="D14" s="45"/>
      <c r="E14" s="46"/>
      <c r="F14" s="46"/>
      <c r="G14" s="46"/>
      <c r="H14" s="38" t="s">
        <v>137</v>
      </c>
      <c r="I14" s="39"/>
      <c r="J14" s="40"/>
    </row>
    <row r="16" customFormat="false" ht="15" hidden="false" customHeight="false" outlineLevel="0" collapsed="false">
      <c r="B16" s="47" t="s">
        <v>138</v>
      </c>
    </row>
  </sheetData>
  <mergeCells count="2">
    <mergeCell ref="B2:J2"/>
    <mergeCell ref="B3:J3"/>
  </mergeCells>
  <conditionalFormatting sqref="H6:H14">
    <cfRule type="expression" priority="2" aboveAverage="0" equalAverage="0" bottom="0" percent="0" rank="0" text="" dxfId="0">
      <formula>ISNUMBER(SEARCH("On Target",H6))</formula>
    </cfRule>
    <cfRule type="expression" priority="3" aboveAverage="0" equalAverage="0" bottom="0" percent="0" rank="0" text="" dxfId="1">
      <formula>ISNUMBER(SEARCH("Near",H6))</formula>
    </cfRule>
    <cfRule type="expression" priority="4" aboveAverage="0" equalAverage="0" bottom="0" percent="0" rank="0" text="" dxfId="2">
      <formula>ISNUMBER(SEARCH("Off Target",H6))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3"/>
    <col collapsed="false" customWidth="true" hidden="false" outlineLevel="0" max="5" min="3" style="0" width="12"/>
    <col collapsed="false" customWidth="true" hidden="false" outlineLevel="0" max="6" min="6" style="0" width="14"/>
  </cols>
  <sheetData>
    <row r="2" customFormat="false" ht="30" hidden="false" customHeight="true" outlineLevel="0" collapsed="false">
      <c r="B2" s="17" t="s">
        <v>139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140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141</v>
      </c>
      <c r="C5" s="24" t="s">
        <v>114</v>
      </c>
      <c r="D5" s="24" t="s">
        <v>115</v>
      </c>
      <c r="E5" s="24" t="s">
        <v>116</v>
      </c>
      <c r="F5" s="24" t="s">
        <v>142</v>
      </c>
    </row>
    <row r="6" customFormat="false" ht="27.75" hidden="false" customHeight="true" outlineLevel="0" collapsed="false">
      <c r="B6" s="25" t="s">
        <v>119</v>
      </c>
      <c r="C6" s="26" t="n">
        <v>3</v>
      </c>
      <c r="D6" s="26" t="n">
        <v>7</v>
      </c>
      <c r="E6" s="26" t="n">
        <v>14</v>
      </c>
      <c r="F6" s="26" t="s">
        <v>143</v>
      </c>
    </row>
    <row r="7" customFormat="false" ht="27.75" hidden="false" customHeight="true" outlineLevel="0" collapsed="false">
      <c r="B7" s="27" t="s">
        <v>121</v>
      </c>
      <c r="C7" s="28" t="n">
        <v>1</v>
      </c>
      <c r="D7" s="28" t="n">
        <v>3</v>
      </c>
      <c r="E7" s="28" t="n">
        <v>7</v>
      </c>
      <c r="F7" s="28" t="s">
        <v>143</v>
      </c>
    </row>
    <row r="8" customFormat="false" ht="27.75" hidden="false" customHeight="true" outlineLevel="0" collapsed="false">
      <c r="B8" s="25" t="s">
        <v>123</v>
      </c>
      <c r="C8" s="26" t="n">
        <v>99.8</v>
      </c>
      <c r="D8" s="26" t="n">
        <v>97</v>
      </c>
      <c r="E8" s="26" t="n">
        <v>92</v>
      </c>
      <c r="F8" s="26" t="s">
        <v>143</v>
      </c>
    </row>
    <row r="9" customFormat="false" ht="27.75" hidden="false" customHeight="true" outlineLevel="0" collapsed="false">
      <c r="B9" s="27" t="s">
        <v>125</v>
      </c>
      <c r="C9" s="28" t="n">
        <v>99</v>
      </c>
      <c r="D9" s="28" t="n">
        <v>96</v>
      </c>
      <c r="E9" s="28" t="n">
        <v>90</v>
      </c>
      <c r="F9" s="28" t="s">
        <v>143</v>
      </c>
    </row>
    <row r="10" customFormat="false" ht="27.75" hidden="false" customHeight="true" outlineLevel="0" collapsed="false">
      <c r="B10" s="25" t="s">
        <v>127</v>
      </c>
      <c r="C10" s="26" t="n">
        <v>95</v>
      </c>
      <c r="D10" s="26" t="n">
        <v>75</v>
      </c>
      <c r="E10" s="26" t="n">
        <v>50</v>
      </c>
      <c r="F10" s="26" t="s">
        <v>144</v>
      </c>
    </row>
    <row r="11" customFormat="false" ht="27.75" hidden="false" customHeight="true" outlineLevel="0" collapsed="false">
      <c r="B11" s="27" t="s">
        <v>145</v>
      </c>
      <c r="C11" s="28" t="n">
        <v>120</v>
      </c>
      <c r="D11" s="28" t="n">
        <v>250</v>
      </c>
      <c r="E11" s="28" t="n">
        <v>500</v>
      </c>
      <c r="F11" s="28" t="s">
        <v>144</v>
      </c>
    </row>
    <row r="12" customFormat="false" ht="27.75" hidden="false" customHeight="true" outlineLevel="0" collapsed="false">
      <c r="B12" s="25" t="s">
        <v>146</v>
      </c>
      <c r="C12" s="26" t="n">
        <v>1</v>
      </c>
      <c r="D12" s="26" t="n">
        <v>4</v>
      </c>
      <c r="E12" s="26" t="n">
        <v>10</v>
      </c>
      <c r="F12" s="26" t="s">
        <v>143</v>
      </c>
    </row>
    <row r="13" customFormat="false" ht="27.75" hidden="false" customHeight="true" outlineLevel="0" collapsed="false">
      <c r="B13" s="27" t="s">
        <v>129</v>
      </c>
      <c r="C13" s="28" t="n">
        <v>90</v>
      </c>
      <c r="D13" s="28" t="n">
        <v>65</v>
      </c>
      <c r="E13" s="28" t="n">
        <v>35</v>
      </c>
      <c r="F13" s="28" t="s">
        <v>144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147</v>
      </c>
      <c r="B1" s="0" t="s">
        <v>148</v>
      </c>
      <c r="C1" s="0" t="s">
        <v>149</v>
      </c>
    </row>
    <row r="2" customFormat="false" ht="15" hidden="false" customHeight="false" outlineLevel="0" collapsed="false">
      <c r="A2" s="0" t="s">
        <v>150</v>
      </c>
      <c r="B2" s="0" t="s">
        <v>151</v>
      </c>
      <c r="C2" s="0" t="s">
        <v>152</v>
      </c>
    </row>
    <row r="3" customFormat="false" ht="15" hidden="false" customHeight="false" outlineLevel="0" collapsed="false">
      <c r="A3" s="0" t="s">
        <v>153</v>
      </c>
      <c r="B3" s="0" t="s">
        <v>154</v>
      </c>
      <c r="C3" s="0" t="s">
        <v>155</v>
      </c>
    </row>
    <row r="4" customFormat="false" ht="15" hidden="false" customHeight="false" outlineLevel="0" collapsed="false">
      <c r="A4" s="0" t="s">
        <v>156</v>
      </c>
      <c r="B4" s="0" t="s">
        <v>157</v>
      </c>
      <c r="C4" s="0" t="s">
        <v>158</v>
      </c>
    </row>
    <row r="5" customFormat="false" ht="15" hidden="false" customHeight="false" outlineLevel="0" collapsed="false">
      <c r="B5" s="0" t="s">
        <v>159</v>
      </c>
      <c r="C5" s="0" t="s">
        <v>160</v>
      </c>
    </row>
    <row r="6" customFormat="false" ht="15" hidden="false" customHeight="false" outlineLevel="0" collapsed="false">
      <c r="C6" s="0" t="s">
        <v>161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2026-05-26T06:45:02Z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