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POC" sheetId="3" state="visible" r:id="rId5"/>
    <sheet name="RACI Matrix" sheetId="4" state="visible" r:id="rId6"/>
    <sheet name="SOP — Credit Assessment" sheetId="5" state="visible" r:id="rId7"/>
    <sheet name="Credit Scoring Model" sheetId="6" state="visible" r:id="rId8"/>
    <sheet name="Authority Matrix" sheetId="7" state="visible" r:id="rId9"/>
    <sheet name="KPI Scorecard" sheetId="8" state="visible" r:id="rId10"/>
    <sheet name="Lists" sheetId="9" state="hidden" r:id="rId11"/>
    <sheet name="Review Tracker" sheetId="10" state="visible" r:id="rId12"/>
    <sheet name="Benchmar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Weights must total 100%. Adjust to match your risk appetite.</t>
        </r>
      </text>
    </comment>
  </commentList>
</comments>
</file>

<file path=xl/sharedStrings.xml><?xml version="1.0" encoding="utf-8"?>
<sst xmlns="http://schemas.openxmlformats.org/spreadsheetml/2006/main" count="374" uniqueCount="280">
  <si>
    <t xml:space="preserve">ClearLedger Advisory</t>
  </si>
  <si>
    <t xml:space="preserve">Credit Management</t>
  </si>
  <si>
    <t xml:space="preserve">Process Pack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</si>
  <si>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</si>
  <si>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</si>
  <si>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</si>
  <si>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</si>
  <si>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</si>
  <si>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</si>
  <si>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</si>
  <si>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</si>
  <si>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</si>
  <si>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</si>
  <si>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</si>
  <si>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</si>
  <si>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</si>
  <si>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</si>
  <si>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Complete framework for credit assessment, scoring, and ongoing monitoring across SSC, BPO, and GBS operating models. Includes SIPOC, RACI, a 7-step credit-assessment SOP, an auto-calculating weighted scoring model with live A/B/C/D rating, an approval authority matrix, an 8-KPI scorecard with APQC PCF v8.0 benchmarks and RAG status, and a periodic review tracker with overdue alerts.</t>
  </si>
  <si>
    <t xml:space="preserve">  CONTENTS</t>
  </si>
  <si>
    <t xml:space="preserve">01</t>
  </si>
  <si>
    <t xml:space="preserve">SIPOC</t>
  </si>
  <si>
    <t xml:space="preserve">Process scope: suppliers → inputs → process → outputs → customers</t>
  </si>
  <si>
    <t xml:space="preserve">02</t>
  </si>
  <si>
    <t xml:space="preserve">RACI Matrix</t>
  </si>
  <si>
    <t xml:space="preserve">12 activities with role assignments</t>
  </si>
  <si>
    <t xml:space="preserve">03</t>
  </si>
  <si>
    <t xml:space="preserve">SOP — Credit Assessment</t>
  </si>
  <si>
    <t xml:space="preserve">7-step procedure for new credit setup</t>
  </si>
  <si>
    <t xml:space="preserve">04</t>
  </si>
  <si>
    <t xml:space="preserve">Credit Scoring Model</t>
  </si>
  <si>
    <t xml:space="preserve">Weighted model with auto-rating (A/B/C/D)</t>
  </si>
  <si>
    <t xml:space="preserve">05</t>
  </si>
  <si>
    <t xml:space="preserve">Authority Matrix</t>
  </si>
  <si>
    <t xml:space="preserve">Approval thresholds by role and risk tier</t>
  </si>
  <si>
    <t xml:space="preserve">06</t>
  </si>
  <si>
    <t xml:space="preserve">KPI Scorecard</t>
  </si>
  <si>
    <t xml:space="preserve">8 KPIs · APQC v8.0 benchmarks · RAG status</t>
  </si>
  <si>
    <t xml:space="preserve">07</t>
  </si>
  <si>
    <t xml:space="preserve">Review Tracker</t>
  </si>
  <si>
    <t xml:space="preserve">Annual review schedule with overdue alerts</t>
  </si>
  <si>
    <t xml:space="preserve">08</t>
  </si>
  <si>
    <t xml:space="preserve">Benchmarks</t>
  </si>
  <si>
    <t xml:space="preserve">APQC / Hackett 2026 reference data</t>
  </si>
  <si>
    <t xml:space="preserve">ClearLedger Advisory · Toolkit 2.0 · APQC PCF v8.0: 8.3.1.2 Manage Credit · © 2026 · Licensed for single-entity use</t>
  </si>
  <si>
    <t xml:space="preserve">How to Use This Process Pack</t>
  </si>
  <si>
    <t xml:space="preserve">A six-step path from diagnostic to deployment</t>
  </si>
  <si>
    <t xml:space="preserve">Step 1</t>
  </si>
  <si>
    <t xml:space="preserve">Review the SIPOC</t>
  </si>
  <si>
    <t xml:space="preserve">Map the end-to-end credit process scope and hand-off points before changing anything.</t>
  </si>
  <si>
    <t xml:space="preserve">Step 2</t>
  </si>
  <si>
    <t xml:space="preserve">Assign the RACI</t>
  </si>
  <si>
    <t xml:space="preserve">Clarify who is Responsible, Accountable, Consulted, and Informed for each activity.</t>
  </si>
  <si>
    <t xml:space="preserve">Step 3</t>
  </si>
  <si>
    <t xml:space="preserve">Configure the Scoring Model</t>
  </si>
  <si>
    <t xml:space="preserve">Adjust the criterion weights (blue cells) to match your risk appetite. Weights must total 100%.</t>
  </si>
  <si>
    <t xml:space="preserve">Step 4</t>
  </si>
  <si>
    <t xml:space="preserve">Set KPI Targets</t>
  </si>
  <si>
    <t xml:space="preserve">Enter your current values in the KPI Scorecard (blue cells). RAG status calculates automatically.</t>
  </si>
  <si>
    <t xml:space="preserve">Step 5</t>
  </si>
  <si>
    <t xml:space="preserve">Load the Review Tracker</t>
  </si>
  <si>
    <t xml:space="preserve">Populate customers and review dates; overdue reviews flag automatically.</t>
  </si>
  <si>
    <t xml:space="preserve">Step 6</t>
  </si>
  <si>
    <t xml:space="preserve">Apply the Authority Matrix</t>
  </si>
  <si>
    <t xml:space="preserve">Ensure ERP approval workflows mirror the documented authority thresholds.</t>
  </si>
  <si>
    <t xml:space="preserve">  ▸ Blue cells are inputs you edit. Black values are formula-driven — do not overtype them.</t>
  </si>
  <si>
    <t xml:space="preserve">SIPOC — Credit Management Process</t>
  </si>
  <si>
    <t xml:space="preserve">APQC PCF v8.0: 8.3.1.2 · Manage Credit</t>
  </si>
  <si>
    <t xml:space="preserve">Suppliers</t>
  </si>
  <si>
    <t xml:space="preserve">Inputs</t>
  </si>
  <si>
    <t xml:space="preserve">Process Steps</t>
  </si>
  <si>
    <t xml:space="preserve">Outputs</t>
  </si>
  <si>
    <t xml:space="preserve">Customers</t>
  </si>
  <si>
    <t xml:space="preserve">APQC</t>
  </si>
  <si>
    <t xml:space="preserve">Sales / CRM</t>
  </si>
  <si>
    <t xml:space="preserve">New customer application</t>
  </si>
  <si>
    <t xml:space="preserve">1. Receive credit application</t>
  </si>
  <si>
    <t xml:space="preserve">Credit application logged</t>
  </si>
  <si>
    <t xml:space="preserve">Credit Team</t>
  </si>
  <si>
    <t xml:space="preserve">8.3.1.2.1</t>
  </si>
  <si>
    <t xml:space="preserve">Customer</t>
  </si>
  <si>
    <t xml:space="preserve">Financial statements + references</t>
  </si>
  <si>
    <t xml:space="preserve">2. Perform credit assessment</t>
  </si>
  <si>
    <t xml:space="preserve">Credit score &amp; rating</t>
  </si>
  <si>
    <t xml:space="preserve">AR Manager</t>
  </si>
  <si>
    <t xml:space="preserve">8.3.1.2.2</t>
  </si>
  <si>
    <t xml:space="preserve">Credit Bureau</t>
  </si>
  <si>
    <t xml:space="preserve">Credit bureau report</t>
  </si>
  <si>
    <t xml:space="preserve">3. Set credit limit</t>
  </si>
  <si>
    <t xml:space="preserve">Recommended limit</t>
  </si>
  <si>
    <t xml:space="preserve">8.3.1.2.3</t>
  </si>
  <si>
    <t xml:space="preserve">Approved limit recommendation</t>
  </si>
  <si>
    <t xml:space="preserve">4. Approve / authorise</t>
  </si>
  <si>
    <t xml:space="preserve">Approved credit limit</t>
  </si>
  <si>
    <t xml:space="preserve">ERP System</t>
  </si>
  <si>
    <t xml:space="preserve">8.3.1.2.4</t>
  </si>
  <si>
    <t xml:space="preserve">ERP</t>
  </si>
  <si>
    <t xml:space="preserve">Configured customer record</t>
  </si>
  <si>
    <t xml:space="preserve">5. Set up in ERP</t>
  </si>
  <si>
    <t xml:space="preserve">Customer with credit limit</t>
  </si>
  <si>
    <t xml:space="preserve">Order Management</t>
  </si>
  <si>
    <t xml:space="preserve">8.3.1.2.5</t>
  </si>
  <si>
    <t xml:space="preserve">AR System</t>
  </si>
  <si>
    <t xml:space="preserve">Payment history data</t>
  </si>
  <si>
    <t xml:space="preserve">6. Ongoing monitoring</t>
  </si>
  <si>
    <t xml:space="preserve">Updated credit assessment</t>
  </si>
  <si>
    <t xml:space="preserve">Collections</t>
  </si>
  <si>
    <t xml:space="preserve">8.3.1.2.6</t>
  </si>
  <si>
    <t xml:space="preserve">RACI Matrix — Credit Management</t>
  </si>
  <si>
    <t xml:space="preserve">R Responsible · A Accountable · C Consulted · I Informed</t>
  </si>
  <si>
    <t xml:space="preserve">Activity</t>
  </si>
  <si>
    <t xml:space="preserve">Credit Analyst</t>
  </si>
  <si>
    <t xml:space="preserve">Credit Manager</t>
  </si>
  <si>
    <t xml:space="preserve">Sales</t>
  </si>
  <si>
    <t xml:space="preserve">Legal</t>
  </si>
  <si>
    <t xml:space="preserve">Receive new credit application</t>
  </si>
  <si>
    <t xml:space="preserve">R</t>
  </si>
  <si>
    <t xml:space="preserve">A</t>
  </si>
  <si>
    <t xml:space="preserve">I</t>
  </si>
  <si>
    <t xml:space="preserve">C</t>
  </si>
  <si>
    <t xml:space="preserve">Collect financial documents</t>
  </si>
  <si>
    <t xml:space="preserve">Order credit bureau report</t>
  </si>
  <si>
    <t xml:space="preserve">Perform financial analysis</t>
  </si>
  <si>
    <t xml:space="preserve">Calculate credit score</t>
  </si>
  <si>
    <t xml:space="preserve">Recommend credit limit</t>
  </si>
  <si>
    <t xml:space="preserve">Approve within authority</t>
  </si>
  <si>
    <t xml:space="preserve">Configure ERP credit master</t>
  </si>
  <si>
    <t xml:space="preserve">Block / unblock orders</t>
  </si>
  <si>
    <t xml:space="preserve">Perform periodic review</t>
  </si>
  <si>
    <t xml:space="preserve">Adjust credit limit</t>
  </si>
  <si>
    <t xml:space="preserve">Escalate high-risk accounts</t>
  </si>
  <si>
    <t xml:space="preserve">New customer credit setup and limit assignment</t>
  </si>
  <si>
    <t xml:space="preserve">#</t>
  </si>
  <si>
    <t xml:space="preserve">Who</t>
  </si>
  <si>
    <t xml:space="preserve">Task</t>
  </si>
  <si>
    <t xml:space="preserve">Procedure</t>
  </si>
  <si>
    <t xml:space="preserve">SLA</t>
  </si>
  <si>
    <t xml:space="preserve">Receive application</t>
  </si>
  <si>
    <t xml:space="preserve">Log credit application from Sales/CRM. Verify completeness: signed application, 2 years financials, bank references, 3 trade references. Assign unique credit application ID.</t>
  </si>
  <si>
    <t xml:space="preserve">&lt; 4 hr</t>
  </si>
  <si>
    <t xml:space="preserve">Collect data</t>
  </si>
  <si>
    <t xml:space="preserve">Order credit bureau report. Request bank references. Validate financial statements (audited preferred). Check payment history if existing customer.</t>
  </si>
  <si>
    <t xml:space="preserve">&lt; 24 hr</t>
  </si>
  <si>
    <t xml:space="preserve">Score customer</t>
  </si>
  <si>
    <t xml:space="preserve">Apply credit scoring model: financial ratios, industry risk, payment history, country risk. Calculate weighted score. Assign rating (A/B/C/D).</t>
  </si>
  <si>
    <t xml:space="preserve">Recommend limit</t>
  </si>
  <si>
    <t xml:space="preserve">Based on score: A = €50K+, B = €10–50K, C = €2–10K, D = €0–2K or prepay. Document rationale. Attach supporting analysis.</t>
  </si>
  <si>
    <t xml:space="preserve">&lt; 8 hr</t>
  </si>
  <si>
    <t xml:space="preserve">Approve</t>
  </si>
  <si>
    <t xml:space="preserve">Review recommendation. Approve within authority matrix (&gt;€50K requires Director). Reject or modify with documented reason.</t>
  </si>
  <si>
    <t xml:space="preserve">Set up in ERP</t>
  </si>
  <si>
    <t xml:space="preserve">Configure credit master: limit, terms, blocking rules, review date. Notify Sales. Set credit limit expiry (annual).</t>
  </si>
  <si>
    <t xml:space="preserve">System</t>
  </si>
  <si>
    <t xml:space="preserve">Ongoing monitoring</t>
  </si>
  <si>
    <t xml:space="preserve">Auto-monitor credit utilisation, aging trends, payment behaviour. Flag breaches. Trigger review if utilisation &gt; 80% for 60 days.</t>
  </si>
  <si>
    <t xml:space="preserve">Ongoing</t>
  </si>
  <si>
    <t xml:space="preserve">Score each criterion 1–5 (blue cells). Weighted total drives the live rating.</t>
  </si>
  <si>
    <t xml:space="preserve">Criterion</t>
  </si>
  <si>
    <t xml:space="preserve">Score (1–5)</t>
  </si>
  <si>
    <t xml:space="preserve">Weight %</t>
  </si>
  <si>
    <t xml:space="preserve">Weighted</t>
  </si>
  <si>
    <t xml:space="preserve">Max</t>
  </si>
  <si>
    <t xml:space="preserve">Data Source</t>
  </si>
  <si>
    <t xml:space="preserve">Liquidity Ratio (Current Ratio)</t>
  </si>
  <si>
    <t xml:space="preserve">Audited financials</t>
  </si>
  <si>
    <t xml:space="preserve">Profitability (EBITDA Margin)</t>
  </si>
  <si>
    <t xml:space="preserve">Payment History (D&amp;B / Experian)</t>
  </si>
  <si>
    <t xml:space="preserve">Industry Risk</t>
  </si>
  <si>
    <t xml:space="preserve">Industry classification</t>
  </si>
  <si>
    <t xml:space="preserve">Customer Relationship Length</t>
  </si>
  <si>
    <t xml:space="preserve">CRM / Sales data</t>
  </si>
  <si>
    <t xml:space="preserve">Country / Political Risk</t>
  </si>
  <si>
    <t xml:space="preserve">Country risk index</t>
  </si>
  <si>
    <t xml:space="preserve">Reference Quality</t>
  </si>
  <si>
    <t xml:space="preserve">Trade / bank references</t>
  </si>
  <si>
    <t xml:space="preserve">Collateral / Guarantees</t>
  </si>
  <si>
    <t xml:space="preserve">Legal / Sales</t>
  </si>
  <si>
    <t xml:space="preserve">TOTAL</t>
  </si>
  <si>
    <t xml:space="preserve">LIVE RATING</t>
  </si>
  <si>
    <t xml:space="preserve">Rating Guide</t>
  </si>
  <si>
    <t xml:space="preserve">Low Risk</t>
  </si>
  <si>
    <t xml:space="preserve">Score ≥ 4.0</t>
  </si>
  <si>
    <t xml:space="preserve">Auto-approve up to €50K. Annual review only.</t>
  </si>
  <si>
    <t xml:space="preserve">B</t>
  </si>
  <si>
    <t xml:space="preserve">Medium Risk</t>
  </si>
  <si>
    <t xml:space="preserve">Score 3.0–3.9</t>
  </si>
  <si>
    <t xml:space="preserve">Approve up to €10K. Semi-annual review.</t>
  </si>
  <si>
    <t xml:space="preserve">High Risk</t>
  </si>
  <si>
    <t xml:space="preserve">Score 2.0–2.9</t>
  </si>
  <si>
    <t xml:space="preserve">Approve up to €2K. Quarterly review. Personal guarantee recommended.</t>
  </si>
  <si>
    <t xml:space="preserve">D</t>
  </si>
  <si>
    <t xml:space="preserve">Very High Risk</t>
  </si>
  <si>
    <t xml:space="preserve">Score &lt; 2.0</t>
  </si>
  <si>
    <t xml:space="preserve">Prepayment required. Cash-on-delivery. Escalate to Director.</t>
  </si>
  <si>
    <t xml:space="preserve">Credit Limit Approval Authority Matrix</t>
  </si>
  <si>
    <t xml:space="preserve">Role</t>
  </si>
  <si>
    <t xml:space="preserve">Limit € (Standard)</t>
  </si>
  <si>
    <t xml:space="preserve">Limit € (High Risk)</t>
  </si>
  <si>
    <t xml:space="preserve">Escalation Path</t>
  </si>
  <si>
    <t xml:space="preserve">Notes</t>
  </si>
  <si>
    <t xml:space="preserve">N/A — recommend only</t>
  </si>
  <si>
    <t xml:space="preserve">Cannot approve. Prepares recommendation.</t>
  </si>
  <si>
    <t xml:space="preserve">→ AR Director</t>
  </si>
  <si>
    <t xml:space="preserve">Standard authority for B/C-rated accounts.</t>
  </si>
  <si>
    <t xml:space="preserve">AR Director</t>
  </si>
  <si>
    <t xml:space="preserve">→ CFO</t>
  </si>
  <si>
    <t xml:space="preserve">All A-rated accounts up to limit.</t>
  </si>
  <si>
    <t xml:space="preserve">CFO</t>
  </si>
  <si>
    <t xml:space="preserve">→ CEO / Board</t>
  </si>
  <si>
    <t xml:space="preserve">Strategic accounts. Quarterly review mandatory.</t>
  </si>
  <si>
    <t xml:space="preserve">CEO / Board</t>
  </si>
  <si>
    <t xml:space="preserve">&gt;€1,000,000</t>
  </si>
  <si>
    <t xml:space="preserve">&gt;€250,000</t>
  </si>
  <si>
    <t xml:space="preserve">Board resolution</t>
  </si>
  <si>
    <t xml:space="preserve">Annual review by audit committee.</t>
  </si>
  <si>
    <t xml:space="preserve">KPI Scorecard — Credit Management</t>
  </si>
  <si>
    <t xml:space="preserve">APQC PCF v8.0 benchmarks · blue cells editable · RAG status is live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</si>
  <si>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</si>
  <si>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</si>
  <si>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</si>
  <si>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</si>
  <si>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</si>
  <si>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</si>
  <si>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Status</t>
  </si>
  <si>
    <t xml:space="preserve">Definition</t>
  </si>
  <si>
    <t xml:space="preserve">Credit Assessment Cycle (days)</t>
  </si>
  <si>
    <t xml:space="preserve">Application to limit assigned</t>
  </si>
  <si>
    <t xml:space="preserve">Credit Limit Utilisation Rate</t>
  </si>
  <si>
    <t xml:space="preserve">Used limit ÷ total limit</t>
  </si>
  <si>
    <t xml:space="preserve">Over-Limit Accounts</t>
  </si>
  <si>
    <t xml:space="preserve">Accounts exceeding limit ÷ total</t>
  </si>
  <si>
    <t xml:space="preserve">Credit Review Compliance</t>
  </si>
  <si>
    <t xml:space="preserve">Reviews completed ÷ due</t>
  </si>
  <si>
    <t xml:space="preserve">Bad Debt as % of Revenue</t>
  </si>
  <si>
    <t xml:space="preserve">8.3.1.2.7</t>
  </si>
  <si>
    <t xml:space="preserve">Write-offs ÷ revenue</t>
  </si>
  <si>
    <t xml:space="preserve">Credit Decision Accuracy</t>
  </si>
  <si>
    <t xml:space="preserve">Correct decisions ÷ total</t>
  </si>
  <si>
    <t xml:space="preserve">Complete Applications Rate</t>
  </si>
  <si>
    <t xml:space="preserve">Complete apps ÷ total</t>
  </si>
  <si>
    <t xml:space="preserve">High-Risk Account Watch</t>
  </si>
  <si>
    <t xml:space="preserve">High-risk ÷ active accounts</t>
  </si>
  <si>
    <t xml:space="preserve">RAG status compares Current against Target (direction-aware). Edit blue cells to see it update.</t>
  </si>
  <si>
    <t xml:space="preserve">Risk Rating</t>
  </si>
  <si>
    <t xml:space="preserve">Review Status</t>
  </si>
  <si>
    <t xml:space="preserve">Credit Decision</t>
  </si>
  <si>
    <t xml:space="preserve">Industry</t>
  </si>
  <si>
    <t xml:space="preserve">A - Low</t>
  </si>
  <si>
    <t xml:space="preserve">Approved</t>
  </si>
  <si>
    <t xml:space="preserve">Manufacturing</t>
  </si>
  <si>
    <t xml:space="preserve">B - Medium</t>
  </si>
  <si>
    <t xml:space="preserve">OVERDUE</t>
  </si>
  <si>
    <t xml:space="preserve">Modified</t>
  </si>
  <si>
    <t xml:space="preserve">Technology</t>
  </si>
  <si>
    <t xml:space="preserve">C - High</t>
  </si>
  <si>
    <t xml:space="preserve">Due This Month</t>
  </si>
  <si>
    <t xml:space="preserve">Rejected</t>
  </si>
  <si>
    <t xml:space="preserve">Retail</t>
  </si>
  <si>
    <t xml:space="preserve">D - Very High</t>
  </si>
  <si>
    <t xml:space="preserve">Not Scheduled</t>
  </si>
  <si>
    <t xml:space="preserve">Pending</t>
  </si>
  <si>
    <t xml:space="preserve">Healthcare</t>
  </si>
  <si>
    <t xml:space="preserve">Financial</t>
  </si>
  <si>
    <t xml:space="preserve">Services</t>
  </si>
  <si>
    <t xml:space="preserve">Energy</t>
  </si>
  <si>
    <t xml:space="preserve">Periodic Credit Review Tracker</t>
  </si>
  <si>
    <t xml:space="preserve">Enter customers and review dates — overdue reviews flag automatically</t>
  </si>
  <si>
    <t xml:space="preserve">Current Limit</t>
  </si>
  <si>
    <t xml:space="preserve">Last Review</t>
  </si>
  <si>
    <t xml:space="preserve">Next Review</t>
  </si>
  <si>
    <t xml:space="preserve">APQC / Hackett — Credit Management Benchmarks</t>
  </si>
  <si>
    <t xml:space="preserve">Reference data · APQC PCF v8.0 and Hackett Group 2026</t>
  </si>
  <si>
    <t xml:space="preserve">Metric</t>
  </si>
  <si>
    <t xml:space="preserve">Top Q</t>
  </si>
  <si>
    <t xml:space="preserve">Bottom Q</t>
  </si>
  <si>
    <t xml:space="preserve">Source</t>
  </si>
  <si>
    <t xml:space="preserve">APQC PCF v8.0</t>
  </si>
  <si>
    <t xml:space="preserve">Hackett 2026</t>
  </si>
  <si>
    <t xml:space="preserve">Credit Limit Utilisation</t>
  </si>
  <si>
    <t xml:space="preserve">DSO Impact — Credit (days)</t>
  </si>
  <si>
    <t xml:space="preserve">Cost per Credit Assessment (€)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</si>
</sst>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%"/>
    <numFmt numFmtId="167" formatCode="0.00"/>
    <numFmt numFmtId="168" formatCode="\€#,##0;&quot;(€&quot;#,##0\);&quot;€0&quot;"/>
    <numFmt numFmtId="169" formatCode="0.0"/>
    <numFmt numFmtId="170" formatCode="0.0%"/>
    <numFmt numFmtId="171" formatCode="\€#,##0;&quot;(€&quot;#,##0\);\-"/>
    <numFmt numFmtId="172" formatCode="yyyy\-mm\-dd"/>
    <numFmt numFmtId="173" formatCode="\€#,##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4"/>
      <color rgb="FFFFFFFF"/>
      <name val="Arial"/>
      <family val="0"/>
      <charset val="1"/>
    </font>
    <font>
      <b val="true"/>
      <sz val="34"/>
      <color rgb="FFE8D589"/>
      <name val="Arial"/>
      <family val="0"/>
      <charset val="1"/>
    </font>
    <font>
      <b val="true"/>
      <sz val="10"/>
      <color rgb="FF8B949E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0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1E293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E8D589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9"/>
      <color rgb="FFB91C1C"/>
      <name val="Arial"/>
      <family val="0"/>
      <charset val="1"/>
    </font>
    <font>
      <sz val="10"/>
      <name val="Arial"/>
      <family val="2"/>
    </font>
    <font>
      <b val="true"/>
      <sz val="10"/>
      <color rgb="FF1E293B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C9A227"/>
        <bgColor rgb="FF99CC00"/>
      </patternFill>
    </fill>
    <fill>
      <patternFill patternType="solid">
        <fgColor rgb="FF1A2332"/>
        <bgColor rgb="FF1E293B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  <fill>
      <patternFill patternType="solid">
        <fgColor rgb="FF047857"/>
        <bgColor rgb="FF0E7490"/>
      </patternFill>
    </fill>
    <fill>
      <patternFill patternType="solid">
        <fgColor rgb="FFB91C1C"/>
        <bgColor rgb="FF993366"/>
      </patternFill>
    </fill>
    <fill>
      <patternFill patternType="solid">
        <fgColor rgb="FF64748B"/>
        <bgColor rgb="FF6E7681"/>
      </patternFill>
    </fill>
    <fill>
      <patternFill patternType="solid">
        <fgColor rgb="FFB45309"/>
        <bgColor rgb="FF993366"/>
      </patternFill>
    </fill>
    <fill>
      <patternFill patternType="solid">
        <fgColor rgb="FFE8D589"/>
        <bgColor rgb="FFC9D1D9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  <border diagonalUp="false" diagonalDown="false">
      <left style="medium">
        <color rgb="FF334155"/>
      </left>
      <right style="thin">
        <color rgb="FFE2E8F0"/>
      </right>
      <top style="medium">
        <color rgb="FF334155"/>
      </top>
      <bottom style="medium">
        <color rgb="FF334155"/>
      </bottom>
      <diagonal/>
    </border>
    <border diagonalUp="false" diagonalDown="false">
      <left style="thin">
        <color rgb="FFE2E8F0"/>
      </left>
      <right style="medium">
        <color rgb="FF334155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DBEAFE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6EDF3"/>
      <rgbColor rgb="FFD1FAE5"/>
      <rgbColor rgb="FFFEE2E2"/>
      <rgbColor rgb="FFEFF6FF"/>
      <rgbColor rgb="FFF1F5F9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0D1117"/>
      <rgbColor rgb="FF1A2332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9" min="5" style="0" width="10"/>
    <col collapsed="false" customWidth="true" hidden="false" outlineLevel="0" max="10" min="10" style="0" width="6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9.7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3.5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3.5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21.75" hidden="false" customHeight="true" outlineLevel="0" collapsed="false">
      <c r="A13" s="1"/>
      <c r="B13" s="8" t="s">
        <v>5</v>
      </c>
      <c r="C13" s="8"/>
      <c r="D13" s="8"/>
      <c r="E13" s="8"/>
      <c r="F13" s="8"/>
      <c r="G13" s="8"/>
      <c r="H13" s="8"/>
      <c r="I13" s="8"/>
      <c r="J13" s="8"/>
      <c r="K13" s="1"/>
      <c r="L13" s="1"/>
    </row>
    <row r="14" customFormat="false" ht="19.5" hidden="false" customHeight="true" outlineLevel="0" collapsed="false">
      <c r="A14" s="1"/>
      <c r="B14" s="9" t="s">
        <v>6</v>
      </c>
      <c r="C14" s="10" t="s">
        <v>7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8</v>
      </c>
      <c r="C15" s="10" t="s">
        <v>9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10</v>
      </c>
      <c r="C16" s="10" t="s">
        <v>11</v>
      </c>
      <c r="D16" s="10"/>
      <c r="E16" s="10"/>
      <c r="F16" s="10"/>
      <c r="G16" s="10"/>
      <c r="H16" s="10"/>
      <c r="I16" s="10"/>
      <c r="J16" s="10"/>
      <c r="K16" s="1"/>
      <c r="L16" s="1"/>
    </row>
    <row r="17" customFormat="false" ht="19.5" hidden="false" customHeight="true" outlineLevel="0" collapsed="false">
      <c r="A17" s="1"/>
      <c r="B17" s="9" t="s">
        <v>12</v>
      </c>
      <c r="C17" s="11" t="s">
        <v>13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9.5" hidden="false" customHeight="true" outlineLevel="0" collapsed="false">
      <c r="A18" s="1"/>
      <c r="B18" s="9" t="s">
        <v>14</v>
      </c>
      <c r="C18" s="11" t="s">
        <v>15</v>
      </c>
      <c r="D18" s="11"/>
      <c r="E18" s="11"/>
      <c r="F18" s="11"/>
      <c r="G18" s="11"/>
      <c r="H18" s="11"/>
      <c r="I18" s="11"/>
      <c r="J18" s="1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21.75" hidden="false" customHeight="true" outlineLevel="0" collapsed="false">
      <c r="A20" s="1"/>
      <c r="B20" s="8" t="s">
        <v>16</v>
      </c>
      <c r="C20" s="8"/>
      <c r="D20" s="8"/>
      <c r="E20" s="8"/>
      <c r="F20" s="8"/>
      <c r="G20" s="8"/>
      <c r="H20" s="8"/>
      <c r="I20" s="8"/>
      <c r="J20" s="8"/>
      <c r="K20" s="1"/>
      <c r="L20" s="1"/>
    </row>
    <row r="21" customFormat="false" ht="15" hidden="false" customHeight="true" outlineLevel="0" collapsed="false">
      <c r="A21" s="1"/>
      <c r="B21" s="12" t="s">
        <v>17</v>
      </c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2"/>
      <c r="C24" s="12"/>
      <c r="D24" s="12"/>
      <c r="E24" s="12"/>
      <c r="F24" s="12"/>
      <c r="G24" s="12"/>
      <c r="H24" s="12"/>
      <c r="I24" s="12"/>
      <c r="J24" s="12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21.75" hidden="false" customHeight="true" outlineLevel="0" collapsed="false">
      <c r="A26" s="1"/>
      <c r="B26" s="8" t="s">
        <v>18</v>
      </c>
      <c r="C26" s="8"/>
      <c r="D26" s="8"/>
      <c r="E26" s="8"/>
      <c r="F26" s="8"/>
      <c r="G26" s="8"/>
      <c r="H26" s="8"/>
      <c r="I26" s="8"/>
      <c r="J26" s="8"/>
      <c r="K26" s="1"/>
      <c r="L26" s="1"/>
    </row>
    <row r="27" customFormat="false" ht="18" hidden="false" customHeight="true" outlineLevel="0" collapsed="false">
      <c r="A27" s="1"/>
      <c r="B27" s="13" t="s">
        <v>19</v>
      </c>
      <c r="C27" s="14" t="s">
        <v>20</v>
      </c>
      <c r="D27" s="15" t="s">
        <v>21</v>
      </c>
      <c r="E27" s="15"/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22</v>
      </c>
      <c r="C28" s="14" t="s">
        <v>23</v>
      </c>
      <c r="D28" s="15" t="s">
        <v>24</v>
      </c>
      <c r="E28" s="15"/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25</v>
      </c>
      <c r="C29" s="14" t="s">
        <v>26</v>
      </c>
      <c r="D29" s="15" t="s">
        <v>27</v>
      </c>
      <c r="E29" s="15"/>
      <c r="F29" s="15"/>
      <c r="G29" s="15"/>
      <c r="H29" s="15"/>
      <c r="I29" s="15"/>
      <c r="J29" s="15"/>
      <c r="K29" s="1"/>
      <c r="L29" s="1"/>
    </row>
    <row r="30" customFormat="false" ht="18" hidden="false" customHeight="true" outlineLevel="0" collapsed="false">
      <c r="A30" s="1"/>
      <c r="B30" s="13" t="s">
        <v>28</v>
      </c>
      <c r="C30" s="14" t="s">
        <v>29</v>
      </c>
      <c r="D30" s="15" t="s">
        <v>30</v>
      </c>
      <c r="E30" s="15"/>
      <c r="F30" s="15"/>
      <c r="G30" s="15"/>
      <c r="H30" s="15"/>
      <c r="I30" s="15"/>
      <c r="J30" s="15"/>
      <c r="K30" s="1"/>
      <c r="L30" s="1"/>
    </row>
    <row r="31" customFormat="false" ht="18" hidden="false" customHeight="true" outlineLevel="0" collapsed="false">
      <c r="A31" s="1"/>
      <c r="B31" s="13" t="s">
        <v>31</v>
      </c>
      <c r="C31" s="14" t="s">
        <v>32</v>
      </c>
      <c r="D31" s="15" t="s">
        <v>33</v>
      </c>
      <c r="E31" s="15"/>
      <c r="F31" s="15"/>
      <c r="G31" s="15"/>
      <c r="H31" s="15"/>
      <c r="I31" s="15"/>
      <c r="J31" s="15"/>
      <c r="K31" s="1"/>
      <c r="L31" s="1"/>
    </row>
    <row r="32" customFormat="false" ht="18" hidden="false" customHeight="true" outlineLevel="0" collapsed="false">
      <c r="A32" s="1"/>
      <c r="B32" s="13" t="s">
        <v>34</v>
      </c>
      <c r="C32" s="14" t="s">
        <v>35</v>
      </c>
      <c r="D32" s="15" t="s">
        <v>36</v>
      </c>
      <c r="E32" s="15"/>
      <c r="F32" s="15"/>
      <c r="G32" s="15"/>
      <c r="H32" s="15"/>
      <c r="I32" s="15"/>
      <c r="J32" s="15"/>
      <c r="K32" s="1"/>
      <c r="L32" s="1"/>
    </row>
    <row r="33" customFormat="false" ht="18" hidden="false" customHeight="true" outlineLevel="0" collapsed="false">
      <c r="A33" s="1"/>
      <c r="B33" s="13" t="s">
        <v>37</v>
      </c>
      <c r="C33" s="14" t="s">
        <v>38</v>
      </c>
      <c r="D33" s="15" t="s">
        <v>39</v>
      </c>
      <c r="E33" s="15"/>
      <c r="F33" s="15"/>
      <c r="G33" s="15"/>
      <c r="H33" s="15"/>
      <c r="I33" s="15"/>
      <c r="J33" s="15"/>
      <c r="K33" s="1"/>
      <c r="L33" s="1"/>
    </row>
    <row r="34" customFormat="false" ht="18" hidden="false" customHeight="true" outlineLevel="0" collapsed="false">
      <c r="A34" s="1"/>
      <c r="B34" s="13" t="s">
        <v>40</v>
      </c>
      <c r="C34" s="14" t="s">
        <v>41</v>
      </c>
      <c r="D34" s="15" t="s">
        <v>42</v>
      </c>
      <c r="E34" s="15"/>
      <c r="F34" s="15"/>
      <c r="G34" s="15"/>
      <c r="H34" s="15"/>
      <c r="I34" s="15"/>
      <c r="J34" s="15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6" t="s">
        <v>43</v>
      </c>
      <c r="C36" s="16"/>
      <c r="D36" s="16"/>
      <c r="E36" s="16"/>
      <c r="F36" s="16"/>
      <c r="G36" s="16"/>
      <c r="H36" s="16"/>
      <c r="I36" s="16"/>
      <c r="J36" s="16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24">
    <mergeCell ref="B2:J2"/>
    <mergeCell ref="B4:J4"/>
    <mergeCell ref="B6:J6"/>
    <mergeCell ref="B7:J7"/>
    <mergeCell ref="B9:J9"/>
    <mergeCell ref="B10:J10"/>
    <mergeCell ref="B13:J13"/>
    <mergeCell ref="C14:J14"/>
    <mergeCell ref="C15:J15"/>
    <mergeCell ref="C16:J16"/>
    <mergeCell ref="C17:J17"/>
    <mergeCell ref="C18:J18"/>
    <mergeCell ref="B20:J20"/>
    <mergeCell ref="B21:J24"/>
    <mergeCell ref="B26:J26"/>
    <mergeCell ref="D27:J27"/>
    <mergeCell ref="D28:J28"/>
    <mergeCell ref="D29:J29"/>
    <mergeCell ref="D30:J30"/>
    <mergeCell ref="D31:J31"/>
    <mergeCell ref="D32:J32"/>
    <mergeCell ref="D33:J33"/>
    <mergeCell ref="D34:J34"/>
    <mergeCell ref="B36:J3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8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44</v>
      </c>
      <c r="C2" s="17"/>
    </row>
    <row r="3" customFormat="false" ht="15.75" hidden="false" customHeight="true" outlineLevel="0" collapsed="false">
      <c r="B3" s="18" t="s">
        <v>45</v>
      </c>
      <c r="C3" s="18"/>
    </row>
    <row r="5" customFormat="false" ht="21.75" hidden="false" customHeight="true" outlineLevel="0" collapsed="false">
      <c r="B5" s="19" t="s">
        <v>46</v>
      </c>
      <c r="C5" s="20" t="s">
        <v>47</v>
      </c>
    </row>
    <row r="6" customFormat="false" ht="30" hidden="false" customHeight="true" outlineLevel="0" collapsed="false">
      <c r="B6" s="21"/>
      <c r="C6" s="22" t="s">
        <v>48</v>
      </c>
    </row>
    <row r="7" customFormat="false" ht="21.75" hidden="false" customHeight="true" outlineLevel="0" collapsed="false">
      <c r="B7" s="19" t="s">
        <v>49</v>
      </c>
      <c r="C7" s="20" t="s">
        <v>50</v>
      </c>
    </row>
    <row r="8" customFormat="false" ht="30" hidden="false" customHeight="true" outlineLevel="0" collapsed="false">
      <c r="B8" s="21"/>
      <c r="C8" s="22" t="s">
        <v>51</v>
      </c>
    </row>
    <row r="9" customFormat="false" ht="21.75" hidden="false" customHeight="true" outlineLevel="0" collapsed="false">
      <c r="B9" s="19" t="s">
        <v>52</v>
      </c>
      <c r="C9" s="20" t="s">
        <v>53</v>
      </c>
    </row>
    <row r="10" customFormat="false" ht="30" hidden="false" customHeight="true" outlineLevel="0" collapsed="false">
      <c r="B10" s="21"/>
      <c r="C10" s="22" t="s">
        <v>54</v>
      </c>
    </row>
    <row r="11" customFormat="false" ht="21.75" hidden="false" customHeight="true" outlineLevel="0" collapsed="false">
      <c r="B11" s="19" t="s">
        <v>55</v>
      </c>
      <c r="C11" s="20" t="s">
        <v>56</v>
      </c>
    </row>
    <row r="12" customFormat="false" ht="30" hidden="false" customHeight="true" outlineLevel="0" collapsed="false">
      <c r="B12" s="21"/>
      <c r="C12" s="22" t="s">
        <v>57</v>
      </c>
    </row>
    <row r="13" customFormat="false" ht="21.75" hidden="false" customHeight="true" outlineLevel="0" collapsed="false">
      <c r="B13" s="19" t="s">
        <v>58</v>
      </c>
      <c r="C13" s="20" t="s">
        <v>59</v>
      </c>
    </row>
    <row r="14" customFormat="false" ht="30" hidden="false" customHeight="true" outlineLevel="0" collapsed="false">
      <c r="B14" s="21"/>
      <c r="C14" s="22" t="s">
        <v>60</v>
      </c>
    </row>
    <row r="15" customFormat="false" ht="21.75" hidden="false" customHeight="true" outlineLevel="0" collapsed="false">
      <c r="B15" s="19" t="s">
        <v>61</v>
      </c>
      <c r="C15" s="20" t="s">
        <v>62</v>
      </c>
    </row>
    <row r="16" customFormat="false" ht="30" hidden="false" customHeight="true" outlineLevel="0" collapsed="false">
      <c r="B16" s="21"/>
      <c r="C16" s="22" t="s">
        <v>63</v>
      </c>
    </row>
    <row r="18" customFormat="false" ht="24" hidden="false" customHeight="true" outlineLevel="0" collapsed="false">
      <c r="B18" s="23" t="s">
        <v>64</v>
      </c>
      <c r="C18" s="23"/>
    </row>
  </sheetData>
  <mergeCells count="3">
    <mergeCell ref="B2:C2"/>
    <mergeCell ref="B3:C3"/>
    <mergeCell ref="B18:C18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65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66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67</v>
      </c>
      <c r="C5" s="24" t="s">
        <v>68</v>
      </c>
      <c r="D5" s="24" t="s">
        <v>69</v>
      </c>
      <c r="E5" s="24" t="s">
        <v>70</v>
      </c>
      <c r="F5" s="24" t="s">
        <v>71</v>
      </c>
      <c r="G5" s="24" t="s">
        <v>72</v>
      </c>
    </row>
    <row r="6" customFormat="false" ht="30" hidden="false" customHeight="true" outlineLevel="0" collapsed="false">
      <c r="B6" s="25" t="s">
        <v>73</v>
      </c>
      <c r="C6" s="25" t="s">
        <v>74</v>
      </c>
      <c r="D6" s="26" t="s">
        <v>75</v>
      </c>
      <c r="E6" s="25" t="s">
        <v>76</v>
      </c>
      <c r="F6" s="25" t="s">
        <v>77</v>
      </c>
      <c r="G6" s="27" t="s">
        <v>78</v>
      </c>
    </row>
    <row r="7" customFormat="false" ht="30" hidden="false" customHeight="true" outlineLevel="0" collapsed="false">
      <c r="B7" s="28" t="s">
        <v>79</v>
      </c>
      <c r="C7" s="28" t="s">
        <v>80</v>
      </c>
      <c r="D7" s="29" t="s">
        <v>81</v>
      </c>
      <c r="E7" s="28" t="s">
        <v>82</v>
      </c>
      <c r="F7" s="28" t="s">
        <v>83</v>
      </c>
      <c r="G7" s="30" t="s">
        <v>84</v>
      </c>
    </row>
    <row r="8" customFormat="false" ht="30" hidden="false" customHeight="true" outlineLevel="0" collapsed="false">
      <c r="B8" s="25" t="s">
        <v>85</v>
      </c>
      <c r="C8" s="25" t="s">
        <v>86</v>
      </c>
      <c r="D8" s="26" t="s">
        <v>87</v>
      </c>
      <c r="E8" s="25" t="s">
        <v>88</v>
      </c>
      <c r="F8" s="25" t="s">
        <v>83</v>
      </c>
      <c r="G8" s="27" t="s">
        <v>89</v>
      </c>
    </row>
    <row r="9" customFormat="false" ht="30" hidden="false" customHeight="true" outlineLevel="0" collapsed="false">
      <c r="B9" s="28" t="s">
        <v>83</v>
      </c>
      <c r="C9" s="28" t="s">
        <v>90</v>
      </c>
      <c r="D9" s="29" t="s">
        <v>91</v>
      </c>
      <c r="E9" s="28" t="s">
        <v>92</v>
      </c>
      <c r="F9" s="28" t="s">
        <v>93</v>
      </c>
      <c r="G9" s="30" t="s">
        <v>94</v>
      </c>
    </row>
    <row r="10" customFormat="false" ht="30" hidden="false" customHeight="true" outlineLevel="0" collapsed="false">
      <c r="B10" s="25" t="s">
        <v>95</v>
      </c>
      <c r="C10" s="25" t="s">
        <v>96</v>
      </c>
      <c r="D10" s="26" t="s">
        <v>97</v>
      </c>
      <c r="E10" s="25" t="s">
        <v>98</v>
      </c>
      <c r="F10" s="25" t="s">
        <v>99</v>
      </c>
      <c r="G10" s="27" t="s">
        <v>100</v>
      </c>
    </row>
    <row r="11" customFormat="false" ht="30" hidden="false" customHeight="true" outlineLevel="0" collapsed="false">
      <c r="B11" s="28" t="s">
        <v>101</v>
      </c>
      <c r="C11" s="28" t="s">
        <v>102</v>
      </c>
      <c r="D11" s="29" t="s">
        <v>103</v>
      </c>
      <c r="E11" s="28" t="s">
        <v>104</v>
      </c>
      <c r="F11" s="28" t="s">
        <v>105</v>
      </c>
      <c r="G11" s="30" t="s">
        <v>106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7" min="6" style="0" width="11"/>
  </cols>
  <sheetData>
    <row r="2" customFormat="false" ht="30" hidden="false" customHeight="true" outlineLevel="0" collapsed="false">
      <c r="B2" s="17" t="s">
        <v>107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108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109</v>
      </c>
      <c r="C5" s="24" t="s">
        <v>110</v>
      </c>
      <c r="D5" s="24" t="s">
        <v>111</v>
      </c>
      <c r="E5" s="24" t="s">
        <v>83</v>
      </c>
      <c r="F5" s="24" t="s">
        <v>112</v>
      </c>
      <c r="G5" s="24" t="s">
        <v>113</v>
      </c>
    </row>
    <row r="6" customFormat="false" ht="19.5" hidden="false" customHeight="true" outlineLevel="0" collapsed="false">
      <c r="B6" s="31" t="s">
        <v>114</v>
      </c>
      <c r="C6" s="32" t="s">
        <v>115</v>
      </c>
      <c r="D6" s="33" t="s">
        <v>116</v>
      </c>
      <c r="E6" s="34" t="s">
        <v>117</v>
      </c>
      <c r="F6" s="35" t="s">
        <v>118</v>
      </c>
      <c r="G6" s="36"/>
    </row>
    <row r="7" customFormat="false" ht="19.5" hidden="false" customHeight="true" outlineLevel="0" collapsed="false">
      <c r="B7" s="31" t="s">
        <v>119</v>
      </c>
      <c r="C7" s="32" t="s">
        <v>115</v>
      </c>
      <c r="D7" s="33" t="s">
        <v>116</v>
      </c>
      <c r="E7" s="36"/>
      <c r="F7" s="35" t="s">
        <v>118</v>
      </c>
      <c r="G7" s="36"/>
    </row>
    <row r="8" customFormat="false" ht="19.5" hidden="false" customHeight="true" outlineLevel="0" collapsed="false">
      <c r="B8" s="31" t="s">
        <v>120</v>
      </c>
      <c r="C8" s="32" t="s">
        <v>115</v>
      </c>
      <c r="D8" s="33" t="s">
        <v>116</v>
      </c>
      <c r="E8" s="34" t="s">
        <v>117</v>
      </c>
      <c r="F8" s="36"/>
      <c r="G8" s="36"/>
    </row>
    <row r="9" customFormat="false" ht="19.5" hidden="false" customHeight="true" outlineLevel="0" collapsed="false">
      <c r="B9" s="31" t="s">
        <v>121</v>
      </c>
      <c r="C9" s="32" t="s">
        <v>115</v>
      </c>
      <c r="D9" s="33" t="s">
        <v>116</v>
      </c>
      <c r="E9" s="35" t="s">
        <v>118</v>
      </c>
      <c r="F9" s="36"/>
      <c r="G9" s="36"/>
    </row>
    <row r="10" customFormat="false" ht="19.5" hidden="false" customHeight="true" outlineLevel="0" collapsed="false">
      <c r="B10" s="31" t="s">
        <v>122</v>
      </c>
      <c r="C10" s="32" t="s">
        <v>115</v>
      </c>
      <c r="D10" s="33" t="s">
        <v>116</v>
      </c>
      <c r="E10" s="35" t="s">
        <v>118</v>
      </c>
      <c r="F10" s="36"/>
      <c r="G10" s="36"/>
    </row>
    <row r="11" customFormat="false" ht="19.5" hidden="false" customHeight="true" outlineLevel="0" collapsed="false">
      <c r="B11" s="31" t="s">
        <v>123</v>
      </c>
      <c r="C11" s="32" t="s">
        <v>115</v>
      </c>
      <c r="D11" s="33" t="s">
        <v>116</v>
      </c>
      <c r="E11" s="35" t="s">
        <v>118</v>
      </c>
      <c r="F11" s="34" t="s">
        <v>117</v>
      </c>
      <c r="G11" s="36"/>
    </row>
    <row r="12" customFormat="false" ht="19.5" hidden="false" customHeight="true" outlineLevel="0" collapsed="false">
      <c r="B12" s="31" t="s">
        <v>124</v>
      </c>
      <c r="C12" s="34" t="s">
        <v>117</v>
      </c>
      <c r="D12" s="35" t="s">
        <v>118</v>
      </c>
      <c r="E12" s="33" t="s">
        <v>116</v>
      </c>
      <c r="F12" s="36"/>
      <c r="G12" s="35" t="s">
        <v>118</v>
      </c>
    </row>
    <row r="13" customFormat="false" ht="19.5" hidden="false" customHeight="true" outlineLevel="0" collapsed="false">
      <c r="B13" s="31" t="s">
        <v>125</v>
      </c>
      <c r="C13" s="32" t="s">
        <v>115</v>
      </c>
      <c r="D13" s="34" t="s">
        <v>117</v>
      </c>
      <c r="E13" s="33" t="s">
        <v>116</v>
      </c>
      <c r="F13" s="36"/>
      <c r="G13" s="36"/>
    </row>
    <row r="14" customFormat="false" ht="19.5" hidden="false" customHeight="true" outlineLevel="0" collapsed="false">
      <c r="B14" s="31" t="s">
        <v>126</v>
      </c>
      <c r="C14" s="32" t="s">
        <v>115</v>
      </c>
      <c r="D14" s="35" t="s">
        <v>118</v>
      </c>
      <c r="E14" s="33" t="s">
        <v>116</v>
      </c>
      <c r="F14" s="35" t="s">
        <v>118</v>
      </c>
      <c r="G14" s="36"/>
    </row>
    <row r="15" customFormat="false" ht="19.5" hidden="false" customHeight="true" outlineLevel="0" collapsed="false">
      <c r="B15" s="31" t="s">
        <v>127</v>
      </c>
      <c r="C15" s="32" t="s">
        <v>115</v>
      </c>
      <c r="D15" s="33" t="s">
        <v>116</v>
      </c>
      <c r="E15" s="35" t="s">
        <v>118</v>
      </c>
      <c r="F15" s="34" t="s">
        <v>117</v>
      </c>
      <c r="G15" s="36"/>
    </row>
    <row r="16" customFormat="false" ht="19.5" hidden="false" customHeight="true" outlineLevel="0" collapsed="false">
      <c r="B16" s="31" t="s">
        <v>128</v>
      </c>
      <c r="C16" s="32" t="s">
        <v>115</v>
      </c>
      <c r="D16" s="33" t="s">
        <v>116</v>
      </c>
      <c r="E16" s="35" t="s">
        <v>118</v>
      </c>
      <c r="F16" s="35" t="s">
        <v>118</v>
      </c>
      <c r="G16" s="36"/>
    </row>
    <row r="17" customFormat="false" ht="19.5" hidden="false" customHeight="true" outlineLevel="0" collapsed="false">
      <c r="B17" s="31" t="s">
        <v>129</v>
      </c>
      <c r="C17" s="34" t="s">
        <v>117</v>
      </c>
      <c r="D17" s="32" t="s">
        <v>115</v>
      </c>
      <c r="E17" s="33" t="s">
        <v>116</v>
      </c>
      <c r="F17" s="35" t="s">
        <v>118</v>
      </c>
      <c r="G17" s="35" t="s">
        <v>118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8"/>
    <col collapsed="false" customWidth="true" hidden="false" outlineLevel="0" max="6" min="6" style="0" width="10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26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130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131</v>
      </c>
      <c r="C5" s="24" t="s">
        <v>132</v>
      </c>
      <c r="D5" s="24" t="s">
        <v>133</v>
      </c>
      <c r="E5" s="24" t="s">
        <v>134</v>
      </c>
      <c r="F5" s="24" t="s">
        <v>135</v>
      </c>
      <c r="G5" s="24" t="s">
        <v>72</v>
      </c>
    </row>
    <row r="6" customFormat="false" ht="51.75" hidden="false" customHeight="true" outlineLevel="0" collapsed="false">
      <c r="B6" s="37" t="n">
        <v>1</v>
      </c>
      <c r="C6" s="38" t="s">
        <v>110</v>
      </c>
      <c r="D6" s="26" t="s">
        <v>136</v>
      </c>
      <c r="E6" s="25" t="s">
        <v>137</v>
      </c>
      <c r="F6" s="39" t="s">
        <v>138</v>
      </c>
      <c r="G6" s="27" t="s">
        <v>78</v>
      </c>
    </row>
    <row r="7" customFormat="false" ht="51.75" hidden="false" customHeight="true" outlineLevel="0" collapsed="false">
      <c r="B7" s="37" t="n">
        <v>2</v>
      </c>
      <c r="C7" s="40" t="s">
        <v>110</v>
      </c>
      <c r="D7" s="29" t="s">
        <v>139</v>
      </c>
      <c r="E7" s="28" t="s">
        <v>140</v>
      </c>
      <c r="F7" s="41" t="s">
        <v>141</v>
      </c>
      <c r="G7" s="30" t="s">
        <v>84</v>
      </c>
    </row>
    <row r="8" customFormat="false" ht="51.75" hidden="false" customHeight="true" outlineLevel="0" collapsed="false">
      <c r="B8" s="37" t="n">
        <v>3</v>
      </c>
      <c r="C8" s="38" t="s">
        <v>110</v>
      </c>
      <c r="D8" s="26" t="s">
        <v>142</v>
      </c>
      <c r="E8" s="25" t="s">
        <v>143</v>
      </c>
      <c r="F8" s="39" t="s">
        <v>141</v>
      </c>
      <c r="G8" s="27" t="s">
        <v>84</v>
      </c>
    </row>
    <row r="9" customFormat="false" ht="51.75" hidden="false" customHeight="true" outlineLevel="0" collapsed="false">
      <c r="B9" s="37" t="n">
        <v>4</v>
      </c>
      <c r="C9" s="40" t="s">
        <v>110</v>
      </c>
      <c r="D9" s="29" t="s">
        <v>144</v>
      </c>
      <c r="E9" s="28" t="s">
        <v>145</v>
      </c>
      <c r="F9" s="41" t="s">
        <v>146</v>
      </c>
      <c r="G9" s="30" t="s">
        <v>89</v>
      </c>
    </row>
    <row r="10" customFormat="false" ht="51.75" hidden="false" customHeight="true" outlineLevel="0" collapsed="false">
      <c r="B10" s="37" t="n">
        <v>5</v>
      </c>
      <c r="C10" s="38" t="s">
        <v>111</v>
      </c>
      <c r="D10" s="26" t="s">
        <v>147</v>
      </c>
      <c r="E10" s="25" t="s">
        <v>148</v>
      </c>
      <c r="F10" s="39" t="s">
        <v>141</v>
      </c>
      <c r="G10" s="27" t="s">
        <v>94</v>
      </c>
    </row>
    <row r="11" customFormat="false" ht="51.75" hidden="false" customHeight="true" outlineLevel="0" collapsed="false">
      <c r="B11" s="37" t="n">
        <v>6</v>
      </c>
      <c r="C11" s="40" t="s">
        <v>110</v>
      </c>
      <c r="D11" s="29" t="s">
        <v>149</v>
      </c>
      <c r="E11" s="28" t="s">
        <v>150</v>
      </c>
      <c r="F11" s="41" t="s">
        <v>138</v>
      </c>
      <c r="G11" s="30" t="s">
        <v>100</v>
      </c>
    </row>
    <row r="12" customFormat="false" ht="51.75" hidden="false" customHeight="true" outlineLevel="0" collapsed="false">
      <c r="B12" s="37" t="n">
        <v>7</v>
      </c>
      <c r="C12" s="38" t="s">
        <v>151</v>
      </c>
      <c r="D12" s="26" t="s">
        <v>152</v>
      </c>
      <c r="E12" s="25" t="s">
        <v>153</v>
      </c>
      <c r="F12" s="39" t="s">
        <v>154</v>
      </c>
      <c r="G12" s="27" t="s">
        <v>106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24"/>
  </cols>
  <sheetData>
    <row r="2" customFormat="false" ht="30" hidden="false" customHeight="true" outlineLevel="0" collapsed="false">
      <c r="B2" s="42" t="s">
        <v>29</v>
      </c>
      <c r="C2" s="42"/>
      <c r="D2" s="42"/>
      <c r="E2" s="42"/>
      <c r="F2" s="42"/>
      <c r="G2" s="42"/>
    </row>
    <row r="3" customFormat="false" ht="15.75" hidden="false" customHeight="true" outlineLevel="0" collapsed="false">
      <c r="B3" s="43" t="s">
        <v>155</v>
      </c>
      <c r="C3" s="43"/>
      <c r="D3" s="43"/>
      <c r="E3" s="43"/>
      <c r="F3" s="43"/>
      <c r="G3" s="43"/>
    </row>
    <row r="5" customFormat="false" ht="25.5" hidden="false" customHeight="true" outlineLevel="0" collapsed="false">
      <c r="B5" s="24" t="s">
        <v>156</v>
      </c>
      <c r="C5" s="24" t="s">
        <v>157</v>
      </c>
      <c r="D5" s="24" t="s">
        <v>158</v>
      </c>
      <c r="E5" s="24" t="s">
        <v>159</v>
      </c>
      <c r="F5" s="24" t="s">
        <v>160</v>
      </c>
      <c r="G5" s="24" t="s">
        <v>161</v>
      </c>
    </row>
    <row r="6" customFormat="false" ht="21.75" hidden="false" customHeight="true" outlineLevel="0" collapsed="false">
      <c r="B6" s="31" t="s">
        <v>162</v>
      </c>
      <c r="C6" s="44"/>
      <c r="D6" s="45" t="n">
        <v>0.2</v>
      </c>
      <c r="E6" s="46" t="str">
        <f aca="false">IF($C6="","",$C6*$D6)</f>
        <v/>
      </c>
      <c r="F6" s="47" t="n">
        <v>1</v>
      </c>
      <c r="G6" s="48" t="s">
        <v>163</v>
      </c>
    </row>
    <row r="7" customFormat="false" ht="21.75" hidden="false" customHeight="true" outlineLevel="0" collapsed="false">
      <c r="B7" s="31" t="s">
        <v>164</v>
      </c>
      <c r="C7" s="44"/>
      <c r="D7" s="45" t="n">
        <v>0.15</v>
      </c>
      <c r="E7" s="46" t="str">
        <f aca="false">IF($C7="","",$C7*$D7)</f>
        <v/>
      </c>
      <c r="F7" s="47" t="n">
        <v>0.75</v>
      </c>
      <c r="G7" s="48" t="s">
        <v>163</v>
      </c>
    </row>
    <row r="8" customFormat="false" ht="21.75" hidden="false" customHeight="true" outlineLevel="0" collapsed="false">
      <c r="B8" s="31" t="s">
        <v>165</v>
      </c>
      <c r="C8" s="44"/>
      <c r="D8" s="45" t="n">
        <v>0.2</v>
      </c>
      <c r="E8" s="46" t="str">
        <f aca="false">IF($C8="","",$C8*$D8)</f>
        <v/>
      </c>
      <c r="F8" s="47" t="n">
        <v>1</v>
      </c>
      <c r="G8" s="48" t="s">
        <v>86</v>
      </c>
    </row>
    <row r="9" customFormat="false" ht="21.75" hidden="false" customHeight="true" outlineLevel="0" collapsed="false">
      <c r="B9" s="31" t="s">
        <v>166</v>
      </c>
      <c r="C9" s="44"/>
      <c r="D9" s="45" t="n">
        <v>0.1</v>
      </c>
      <c r="E9" s="46" t="str">
        <f aca="false">IF($C9="","",$C9*$D9)</f>
        <v/>
      </c>
      <c r="F9" s="47" t="n">
        <v>0.5</v>
      </c>
      <c r="G9" s="48" t="s">
        <v>167</v>
      </c>
    </row>
    <row r="10" customFormat="false" ht="21.75" hidden="false" customHeight="true" outlineLevel="0" collapsed="false">
      <c r="B10" s="31" t="s">
        <v>168</v>
      </c>
      <c r="C10" s="44"/>
      <c r="D10" s="45" t="n">
        <v>0.1</v>
      </c>
      <c r="E10" s="46" t="str">
        <f aca="false">IF($C10="","",$C10*$D10)</f>
        <v/>
      </c>
      <c r="F10" s="47" t="n">
        <v>0.5</v>
      </c>
      <c r="G10" s="48" t="s">
        <v>169</v>
      </c>
    </row>
    <row r="11" customFormat="false" ht="21.75" hidden="false" customHeight="true" outlineLevel="0" collapsed="false">
      <c r="B11" s="31" t="s">
        <v>170</v>
      </c>
      <c r="C11" s="44"/>
      <c r="D11" s="45" t="n">
        <v>0.1</v>
      </c>
      <c r="E11" s="46" t="str">
        <f aca="false">IF($C11="","",$C11*$D11)</f>
        <v/>
      </c>
      <c r="F11" s="47" t="n">
        <v>0.5</v>
      </c>
      <c r="G11" s="48" t="s">
        <v>171</v>
      </c>
    </row>
    <row r="12" customFormat="false" ht="21.75" hidden="false" customHeight="true" outlineLevel="0" collapsed="false">
      <c r="B12" s="31" t="s">
        <v>172</v>
      </c>
      <c r="C12" s="44"/>
      <c r="D12" s="45" t="n">
        <v>0.1</v>
      </c>
      <c r="E12" s="46" t="str">
        <f aca="false">IF($C12="","",$C12*$D12)</f>
        <v/>
      </c>
      <c r="F12" s="47" t="n">
        <v>0.5</v>
      </c>
      <c r="G12" s="48" t="s">
        <v>173</v>
      </c>
    </row>
    <row r="13" customFormat="false" ht="21.75" hidden="false" customHeight="true" outlineLevel="0" collapsed="false">
      <c r="B13" s="31" t="s">
        <v>174</v>
      </c>
      <c r="C13" s="44"/>
      <c r="D13" s="45" t="n">
        <v>0.05</v>
      </c>
      <c r="E13" s="46" t="str">
        <f aca="false">IF($C13="","",$C13*$D13)</f>
        <v/>
      </c>
      <c r="F13" s="47" t="n">
        <v>0.25</v>
      </c>
      <c r="G13" s="48" t="s">
        <v>175</v>
      </c>
    </row>
    <row r="14" customFormat="false" ht="24" hidden="false" customHeight="true" outlineLevel="0" collapsed="false">
      <c r="B14" s="49" t="s">
        <v>176</v>
      </c>
      <c r="C14" s="50" t="str">
        <f aca="false">IF(COUNT(C6:C13)=0,"",AVERAGE(C6:C13))</f>
        <v/>
      </c>
      <c r="D14" s="51" t="n">
        <f aca="false">SUM(D6:D13)</f>
        <v>1</v>
      </c>
      <c r="E14" s="52" t="str">
        <f aca="false">IF(SUM(E6:E13)=0,"",SUM(E6:E13)*5)</f>
        <v/>
      </c>
      <c r="F14" s="53"/>
      <c r="G14" s="54"/>
    </row>
    <row r="16" customFormat="false" ht="27.75" hidden="false" customHeight="true" outlineLevel="0" collapsed="false">
      <c r="B16" s="55" t="s">
        <v>177</v>
      </c>
      <c r="C16" s="55"/>
      <c r="D16" s="56" t="str">
        <f aca="false">IF(E14="","Enter scores above",IF(E14&gt;=4,"A — Low Risk  ·  Auto-approve to €50K",IF(E14&gt;=3,"B — Medium Risk  ·  Approve to €10K",IF(E14&gt;=2,"C — High Risk  ·  Approve to €2K + guarantee","D — Very High Risk  ·  Prepayment / COD only"))))</f>
        <v>Enter scores above</v>
      </c>
      <c r="E16" s="56"/>
      <c r="F16" s="56"/>
      <c r="G16" s="56"/>
    </row>
    <row r="18" customFormat="false" ht="15" hidden="false" customHeight="false" outlineLevel="0" collapsed="false">
      <c r="B18" s="57" t="s">
        <v>178</v>
      </c>
    </row>
    <row r="19" customFormat="false" ht="24" hidden="false" customHeight="true" outlineLevel="0" collapsed="false">
      <c r="B19" s="58" t="s">
        <v>116</v>
      </c>
      <c r="C19" s="59" t="s">
        <v>179</v>
      </c>
      <c r="D19" s="60" t="s">
        <v>180</v>
      </c>
      <c r="E19" s="61" t="s">
        <v>181</v>
      </c>
      <c r="F19" s="61"/>
      <c r="G19" s="61"/>
    </row>
    <row r="20" customFormat="false" ht="24" hidden="false" customHeight="true" outlineLevel="0" collapsed="false">
      <c r="B20" s="62" t="s">
        <v>182</v>
      </c>
      <c r="C20" s="63" t="s">
        <v>183</v>
      </c>
      <c r="D20" s="64" t="s">
        <v>184</v>
      </c>
      <c r="E20" s="65" t="s">
        <v>185</v>
      </c>
      <c r="F20" s="65"/>
      <c r="G20" s="65"/>
    </row>
    <row r="21" customFormat="false" ht="24" hidden="false" customHeight="true" outlineLevel="0" collapsed="false">
      <c r="B21" s="66" t="s">
        <v>118</v>
      </c>
      <c r="C21" s="67" t="s">
        <v>186</v>
      </c>
      <c r="D21" s="68" t="s">
        <v>187</v>
      </c>
      <c r="E21" s="69" t="s">
        <v>188</v>
      </c>
      <c r="F21" s="69"/>
      <c r="G21" s="69"/>
    </row>
    <row r="22" customFormat="false" ht="24" hidden="false" customHeight="true" outlineLevel="0" collapsed="false">
      <c r="B22" s="70" t="s">
        <v>189</v>
      </c>
      <c r="C22" s="71" t="s">
        <v>190</v>
      </c>
      <c r="D22" s="72" t="s">
        <v>191</v>
      </c>
      <c r="E22" s="73" t="s">
        <v>192</v>
      </c>
      <c r="F22" s="73"/>
      <c r="G22" s="73"/>
    </row>
  </sheetData>
  <mergeCells count="8">
    <mergeCell ref="B2:G2"/>
    <mergeCell ref="B3:G3"/>
    <mergeCell ref="B16:C16"/>
    <mergeCell ref="D16:G16"/>
    <mergeCell ref="E19:G19"/>
    <mergeCell ref="E20:G20"/>
    <mergeCell ref="E21:G21"/>
    <mergeCell ref="E22:G22"/>
  </mergeCells>
  <conditionalFormatting sqref="E6:E13">
    <cfRule type="dataBar" priority="2">
      <dataBar showValue="1" minLength="10" maxLength="90">
        <cfvo type="num" val="0"/>
        <cfvo type="num" val="1"/>
        <color rgb="FF0E7490"/>
      </dataBar>
      <extLst>
        <ext xmlns:x14="http://schemas.microsoft.com/office/spreadsheetml/2009/9/main" uri="{B025F937-C7B1-47D3-B67F-A62EFF666E3E}">
          <x14:id>{F0AFBA4B-10A8-4FB8-9270-EC996AE07A2E}</x14:id>
        </ext>
      </extLst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FBA4B-10A8-4FB8-9270-EC996AE07A2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E7490"/>
              <x14:axisColor rgb="FF000000"/>
            </x14:dataBar>
          </x14:cfRule>
          <xm:sqref>E6:E13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8"/>
    <col collapsed="false" customWidth="true" hidden="false" outlineLevel="0" max="5" min="5" style="0" width="20"/>
    <col collapsed="false" customWidth="true" hidden="false" outlineLevel="0" max="6" min="6" style="0" width="34"/>
  </cols>
  <sheetData>
    <row r="2" customFormat="false" ht="30" hidden="false" customHeight="true" outlineLevel="0" collapsed="false">
      <c r="B2" s="17" t="s">
        <v>193</v>
      </c>
      <c r="C2" s="17"/>
      <c r="D2" s="17"/>
      <c r="E2" s="17"/>
      <c r="F2" s="17"/>
    </row>
    <row r="3" customFormat="false" ht="15.75" hidden="false" customHeight="true" outlineLevel="0" collapsed="false">
      <c r="B3" s="18" t="s">
        <v>33</v>
      </c>
      <c r="C3" s="18"/>
      <c r="D3" s="18"/>
      <c r="E3" s="18"/>
      <c r="F3" s="18"/>
    </row>
    <row r="5" customFormat="false" ht="25.5" hidden="false" customHeight="true" outlineLevel="0" collapsed="false">
      <c r="B5" s="24" t="s">
        <v>194</v>
      </c>
      <c r="C5" s="24" t="s">
        <v>195</v>
      </c>
      <c r="D5" s="24" t="s">
        <v>196</v>
      </c>
      <c r="E5" s="24" t="s">
        <v>197</v>
      </c>
      <c r="F5" s="24" t="s">
        <v>198</v>
      </c>
    </row>
    <row r="6" customFormat="false" ht="25.5" hidden="false" customHeight="true" outlineLevel="0" collapsed="false">
      <c r="B6" s="74" t="s">
        <v>110</v>
      </c>
      <c r="C6" s="75" t="n">
        <v>0</v>
      </c>
      <c r="D6" s="75" t="n">
        <v>0</v>
      </c>
      <c r="E6" s="76" t="s">
        <v>199</v>
      </c>
      <c r="F6" s="77" t="s">
        <v>200</v>
      </c>
    </row>
    <row r="7" customFormat="false" ht="25.5" hidden="false" customHeight="true" outlineLevel="0" collapsed="false">
      <c r="B7" s="78" t="s">
        <v>111</v>
      </c>
      <c r="C7" s="79" t="n">
        <v>50000</v>
      </c>
      <c r="D7" s="79" t="n">
        <v>10000</v>
      </c>
      <c r="E7" s="80" t="s">
        <v>201</v>
      </c>
      <c r="F7" s="81" t="s">
        <v>202</v>
      </c>
    </row>
    <row r="8" customFormat="false" ht="25.5" hidden="false" customHeight="true" outlineLevel="0" collapsed="false">
      <c r="B8" s="74" t="s">
        <v>203</v>
      </c>
      <c r="C8" s="75" t="n">
        <v>250000</v>
      </c>
      <c r="D8" s="75" t="n">
        <v>50000</v>
      </c>
      <c r="E8" s="76" t="s">
        <v>204</v>
      </c>
      <c r="F8" s="77" t="s">
        <v>205</v>
      </c>
    </row>
    <row r="9" customFormat="false" ht="25.5" hidden="false" customHeight="true" outlineLevel="0" collapsed="false">
      <c r="B9" s="78" t="s">
        <v>206</v>
      </c>
      <c r="C9" s="79" t="n">
        <v>1000000</v>
      </c>
      <c r="D9" s="79" t="n">
        <v>250000</v>
      </c>
      <c r="E9" s="80" t="s">
        <v>207</v>
      </c>
      <c r="F9" s="81" t="s">
        <v>208</v>
      </c>
    </row>
    <row r="10" customFormat="false" ht="25.5" hidden="false" customHeight="true" outlineLevel="0" collapsed="false">
      <c r="B10" s="74" t="s">
        <v>209</v>
      </c>
      <c r="C10" s="82" t="s">
        <v>210</v>
      </c>
      <c r="D10" s="82" t="s">
        <v>211</v>
      </c>
      <c r="E10" s="76" t="s">
        <v>212</v>
      </c>
      <c r="F10" s="77" t="s">
        <v>213</v>
      </c>
    </row>
  </sheetData>
  <mergeCells count="2">
    <mergeCell ref="B2:F2"/>
    <mergeCell ref="B3:F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4"/>
  </cols>
  <sheetData>
    <row r="2" customFormat="false" ht="30" hidden="false" customHeight="true" outlineLevel="0" collapsed="false">
      <c r="B2" s="42" t="s">
        <v>214</v>
      </c>
      <c r="C2" s="42"/>
      <c r="D2" s="42"/>
      <c r="E2" s="42"/>
      <c r="F2" s="42"/>
      <c r="G2" s="42"/>
      <c r="H2" s="42"/>
      <c r="I2" s="42"/>
      <c r="J2" s="42"/>
    </row>
    <row r="3" customFormat="false" ht="15.75" hidden="false" customHeight="true" outlineLevel="0" collapsed="false">
      <c r="B3" s="43" t="s">
        <v>215</v>
      </c>
      <c r="C3" s="43"/>
      <c r="D3" s="43"/>
      <c r="E3" s="43"/>
      <c r="F3" s="43"/>
      <c r="G3" s="43"/>
      <c r="H3" s="43"/>
      <c r="I3" s="43"/>
      <c r="J3" s="43"/>
    </row>
    <row r="5" customFormat="false" ht="25.5" hidden="false" customHeight="true" outlineLevel="0" collapsed="false">
      <c r="B5" s="24" t="s">
        <v>216</v>
      </c>
      <c r="C5" s="24" t="s">
        <v>217</v>
      </c>
      <c r="D5" s="24" t="s">
        <v>218</v>
      </c>
      <c r="E5" s="24" t="s">
        <v>219</v>
      </c>
      <c r="F5" s="24" t="s">
        <v>220</v>
      </c>
      <c r="G5" s="24" t="s">
        <v>221</v>
      </c>
      <c r="H5" s="24" t="s">
        <v>222</v>
      </c>
      <c r="I5" s="24" t="s">
        <v>72</v>
      </c>
      <c r="J5" s="24" t="s">
        <v>223</v>
      </c>
    </row>
    <row r="6" customFormat="false" ht="21.75" hidden="false" customHeight="true" outlineLevel="0" collapsed="false">
      <c r="B6" s="31" t="s">
        <v>224</v>
      </c>
      <c r="C6" s="83" t="n">
        <v>7</v>
      </c>
      <c r="D6" s="83" t="n">
        <v>3</v>
      </c>
      <c r="E6" s="84" t="n">
        <v>2</v>
      </c>
      <c r="F6" s="84" t="n">
        <v>5</v>
      </c>
      <c r="G6" s="84" t="n">
        <v>12</v>
      </c>
      <c r="H6" s="85" t="str">
        <f aca="false">IF(C6&lt;=D6,"● On Target",IF(C6&lt;=F6,"● Near","● Off Target"))</f>
        <v>● Off Target</v>
      </c>
      <c r="I6" s="86" t="s">
        <v>84</v>
      </c>
      <c r="J6" s="87" t="s">
        <v>225</v>
      </c>
    </row>
    <row r="7" customFormat="false" ht="21.75" hidden="false" customHeight="true" outlineLevel="0" collapsed="false">
      <c r="B7" s="31" t="s">
        <v>226</v>
      </c>
      <c r="C7" s="88" t="n">
        <v>0.68</v>
      </c>
      <c r="D7" s="88" t="n">
        <v>0.75</v>
      </c>
      <c r="E7" s="89" t="n">
        <v>0.85</v>
      </c>
      <c r="F7" s="89" t="n">
        <v>0.65</v>
      </c>
      <c r="G7" s="89" t="n">
        <v>0.45</v>
      </c>
      <c r="H7" s="85" t="str">
        <f aca="false">IF(C7&gt;=D7,"● On Target",IF(C7&gt;=F7,"● Near","● Off Target"))</f>
        <v>● Near</v>
      </c>
      <c r="I7" s="86" t="s">
        <v>106</v>
      </c>
      <c r="J7" s="87" t="s">
        <v>227</v>
      </c>
    </row>
    <row r="8" customFormat="false" ht="21.75" hidden="false" customHeight="true" outlineLevel="0" collapsed="false">
      <c r="B8" s="31" t="s">
        <v>228</v>
      </c>
      <c r="C8" s="88" t="n">
        <v>0.12</v>
      </c>
      <c r="D8" s="88" t="n">
        <v>0.05</v>
      </c>
      <c r="E8" s="89" t="n">
        <v>0.02</v>
      </c>
      <c r="F8" s="89" t="n">
        <v>0.08</v>
      </c>
      <c r="G8" s="89" t="n">
        <v>0.18</v>
      </c>
      <c r="H8" s="85" t="str">
        <f aca="false">IF(C8&lt;=D8,"● On Target",IF(C8&lt;=F8,"● Near","● Off Target"))</f>
        <v>● Off Target</v>
      </c>
      <c r="I8" s="86" t="s">
        <v>106</v>
      </c>
      <c r="J8" s="87" t="s">
        <v>229</v>
      </c>
    </row>
    <row r="9" customFormat="false" ht="21.75" hidden="false" customHeight="true" outlineLevel="0" collapsed="false">
      <c r="B9" s="31" t="s">
        <v>230</v>
      </c>
      <c r="C9" s="88" t="n">
        <v>0.75</v>
      </c>
      <c r="D9" s="88" t="n">
        <v>0.95</v>
      </c>
      <c r="E9" s="89" t="n">
        <v>0.98</v>
      </c>
      <c r="F9" s="89" t="n">
        <v>0.85</v>
      </c>
      <c r="G9" s="89" t="n">
        <v>0.6</v>
      </c>
      <c r="H9" s="85" t="str">
        <f aca="false">IF(C9&gt;=D9,"● On Target",IF(C9&gt;=F9,"● Near","● Off Target"))</f>
        <v>● Off Target</v>
      </c>
      <c r="I9" s="86" t="s">
        <v>106</v>
      </c>
      <c r="J9" s="87" t="s">
        <v>231</v>
      </c>
    </row>
    <row r="10" customFormat="false" ht="21.75" hidden="false" customHeight="true" outlineLevel="0" collapsed="false">
      <c r="B10" s="31" t="s">
        <v>232</v>
      </c>
      <c r="C10" s="88" t="n">
        <v>0.018</v>
      </c>
      <c r="D10" s="88" t="n">
        <v>0.005</v>
      </c>
      <c r="E10" s="89" t="n">
        <v>0.002</v>
      </c>
      <c r="F10" s="89" t="n">
        <v>0.006</v>
      </c>
      <c r="G10" s="89" t="n">
        <v>0.015</v>
      </c>
      <c r="H10" s="85" t="str">
        <f aca="false">IF(C10&lt;=D10,"● On Target",IF(C10&lt;=F10,"● Near","● Off Target"))</f>
        <v>● Off Target</v>
      </c>
      <c r="I10" s="86" t="s">
        <v>233</v>
      </c>
      <c r="J10" s="87" t="s">
        <v>234</v>
      </c>
    </row>
    <row r="11" customFormat="false" ht="21.75" hidden="false" customHeight="true" outlineLevel="0" collapsed="false">
      <c r="B11" s="31" t="s">
        <v>235</v>
      </c>
      <c r="C11" s="88" t="n">
        <v>0.9</v>
      </c>
      <c r="D11" s="88" t="n">
        <v>0.96</v>
      </c>
      <c r="E11" s="89" t="n">
        <v>0.98</v>
      </c>
      <c r="F11" s="89" t="n">
        <v>0.92</v>
      </c>
      <c r="G11" s="89" t="n">
        <v>0.82</v>
      </c>
      <c r="H11" s="85" t="str">
        <f aca="false">IF(C11&gt;=D11,"● On Target",IF(C11&gt;=F11,"● Near","● Off Target"))</f>
        <v>● Off Target</v>
      </c>
      <c r="I11" s="86" t="s">
        <v>84</v>
      </c>
      <c r="J11" s="87" t="s">
        <v>236</v>
      </c>
    </row>
    <row r="12" customFormat="false" ht="21.75" hidden="false" customHeight="true" outlineLevel="0" collapsed="false">
      <c r="B12" s="31" t="s">
        <v>237</v>
      </c>
      <c r="C12" s="88" t="n">
        <v>0.92</v>
      </c>
      <c r="D12" s="88" t="n">
        <v>0.97</v>
      </c>
      <c r="E12" s="89" t="n">
        <v>0.99</v>
      </c>
      <c r="F12" s="89" t="n">
        <v>0.94</v>
      </c>
      <c r="G12" s="89" t="n">
        <v>0.85</v>
      </c>
      <c r="H12" s="85" t="str">
        <f aca="false">IF(C12&gt;=D12,"● On Target",IF(C12&gt;=F12,"● Near","● Off Target"))</f>
        <v>● Off Target</v>
      </c>
      <c r="I12" s="86" t="s">
        <v>78</v>
      </c>
      <c r="J12" s="87" t="s">
        <v>238</v>
      </c>
    </row>
    <row r="13" customFormat="false" ht="21.75" hidden="false" customHeight="true" outlineLevel="0" collapsed="false">
      <c r="B13" s="31" t="s">
        <v>239</v>
      </c>
      <c r="C13" s="88" t="n">
        <v>0.15</v>
      </c>
      <c r="D13" s="88" t="n">
        <v>0.1</v>
      </c>
      <c r="E13" s="89" t="n">
        <v>0.05</v>
      </c>
      <c r="F13" s="89" t="n">
        <v>0.12</v>
      </c>
      <c r="G13" s="89" t="n">
        <v>0.22</v>
      </c>
      <c r="H13" s="85" t="str">
        <f aca="false">IF(C13&lt;=D13,"● On Target",IF(C13&lt;=F13,"● Near","● Off Target"))</f>
        <v>● Off Target</v>
      </c>
      <c r="I13" s="86" t="s">
        <v>106</v>
      </c>
      <c r="J13" s="87" t="s">
        <v>240</v>
      </c>
    </row>
    <row r="15" customFormat="false" ht="15" hidden="false" customHeight="false" outlineLevel="0" collapsed="false">
      <c r="B15" s="90" t="s">
        <v>241</v>
      </c>
    </row>
  </sheetData>
  <mergeCells count="2">
    <mergeCell ref="B2:J2"/>
    <mergeCell ref="B3:J3"/>
  </mergeCells>
  <conditionalFormatting sqref="H6:H13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91" t="s">
        <v>242</v>
      </c>
      <c r="B1" s="91" t="s">
        <v>243</v>
      </c>
      <c r="C1" s="91" t="s">
        <v>244</v>
      </c>
      <c r="D1" s="91" t="s">
        <v>245</v>
      </c>
    </row>
    <row r="2" customFormat="false" ht="15" hidden="false" customHeight="false" outlineLevel="0" collapsed="false">
      <c r="A2" s="0" t="s">
        <v>246</v>
      </c>
      <c r="B2" s="0" t="s">
        <v>217</v>
      </c>
      <c r="C2" s="0" t="s">
        <v>247</v>
      </c>
      <c r="D2" s="0" t="s">
        <v>248</v>
      </c>
    </row>
    <row r="3" customFormat="false" ht="15" hidden="false" customHeight="false" outlineLevel="0" collapsed="false">
      <c r="A3" s="0" t="s">
        <v>249</v>
      </c>
      <c r="B3" s="0" t="s">
        <v>250</v>
      </c>
      <c r="C3" s="0" t="s">
        <v>251</v>
      </c>
      <c r="D3" s="0" t="s">
        <v>252</v>
      </c>
    </row>
    <row r="4" customFormat="false" ht="15" hidden="false" customHeight="false" outlineLevel="0" collapsed="false">
      <c r="A4" s="0" t="s">
        <v>253</v>
      </c>
      <c r="B4" s="0" t="s">
        <v>254</v>
      </c>
      <c r="C4" s="0" t="s">
        <v>255</v>
      </c>
      <c r="D4" s="0" t="s">
        <v>256</v>
      </c>
    </row>
    <row r="5" customFormat="false" ht="15" hidden="false" customHeight="false" outlineLevel="0" collapsed="false">
      <c r="A5" s="0" t="s">
        <v>257</v>
      </c>
      <c r="B5" s="0" t="s">
        <v>258</v>
      </c>
      <c r="C5" s="0" t="s">
        <v>259</v>
      </c>
      <c r="D5" s="0" t="s">
        <v>260</v>
      </c>
    </row>
    <row r="6" customFormat="false" ht="15" hidden="false" customHeight="false" outlineLevel="0" collapsed="false">
      <c r="D6" s="0" t="s">
        <v>261</v>
      </c>
    </row>
    <row r="7" customFormat="false" ht="15" hidden="false" customHeight="false" outlineLevel="0" collapsed="false">
      <c r="D7" s="0" t="s">
        <v>262</v>
      </c>
    </row>
    <row r="8" customFormat="false" ht="15" hidden="false" customHeight="false" outlineLevel="0" collapsed="false">
      <c r="D8" s="0" t="s">
        <v>263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28"/>
  </cols>
  <sheetData>
    <row r="2" customFormat="false" ht="30" hidden="false" customHeight="true" outlineLevel="0" collapsed="false">
      <c r="B2" s="17" t="s">
        <v>264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265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79</v>
      </c>
      <c r="C5" s="24" t="s">
        <v>266</v>
      </c>
      <c r="D5" s="24" t="s">
        <v>242</v>
      </c>
      <c r="E5" s="24" t="s">
        <v>267</v>
      </c>
      <c r="F5" s="24" t="s">
        <v>268</v>
      </c>
      <c r="G5" s="24" t="s">
        <v>222</v>
      </c>
      <c r="H5" s="24" t="s">
        <v>198</v>
      </c>
    </row>
    <row r="6" customFormat="false" ht="19.5" hidden="false" customHeight="true" outlineLevel="0" collapsed="false">
      <c r="B6" s="92"/>
      <c r="C6" s="93"/>
      <c r="D6" s="94"/>
      <c r="E6" s="95"/>
      <c r="F6" s="95"/>
      <c r="G6" s="85" t="str">
        <f aca="true">IF(F6="","",IF(F6&lt;TODAY(),"OVERDUE","Current"))</f>
        <v/>
      </c>
      <c r="H6" s="96"/>
    </row>
    <row r="7" customFormat="false" ht="19.5" hidden="false" customHeight="true" outlineLevel="0" collapsed="false">
      <c r="B7" s="92"/>
      <c r="C7" s="93"/>
      <c r="D7" s="94"/>
      <c r="E7" s="95"/>
      <c r="F7" s="95"/>
      <c r="G7" s="85" t="str">
        <f aca="true">IF(F7="","",IF(F7&lt;TODAY(),"OVERDUE","Current"))</f>
        <v/>
      </c>
      <c r="H7" s="96"/>
    </row>
    <row r="8" customFormat="false" ht="19.5" hidden="false" customHeight="true" outlineLevel="0" collapsed="false">
      <c r="B8" s="92"/>
      <c r="C8" s="93"/>
      <c r="D8" s="94"/>
      <c r="E8" s="95"/>
      <c r="F8" s="95"/>
      <c r="G8" s="85" t="str">
        <f aca="true">IF(F8="","",IF(F8&lt;TODAY(),"OVERDUE","Current"))</f>
        <v/>
      </c>
      <c r="H8" s="96"/>
    </row>
    <row r="9" customFormat="false" ht="19.5" hidden="false" customHeight="true" outlineLevel="0" collapsed="false">
      <c r="B9" s="92"/>
      <c r="C9" s="93"/>
      <c r="D9" s="94"/>
      <c r="E9" s="95"/>
      <c r="F9" s="95"/>
      <c r="G9" s="85" t="str">
        <f aca="true">IF(F9="","",IF(F9&lt;TODAY(),"OVERDUE","Current"))</f>
        <v/>
      </c>
      <c r="H9" s="96"/>
    </row>
    <row r="10" customFormat="false" ht="19.5" hidden="false" customHeight="true" outlineLevel="0" collapsed="false">
      <c r="B10" s="92"/>
      <c r="C10" s="93"/>
      <c r="D10" s="94"/>
      <c r="E10" s="95"/>
      <c r="F10" s="95"/>
      <c r="G10" s="85" t="str">
        <f aca="true">IF(F10="","",IF(F10&lt;TODAY(),"OVERDUE","Current"))</f>
        <v/>
      </c>
      <c r="H10" s="96"/>
    </row>
    <row r="11" customFormat="false" ht="19.5" hidden="false" customHeight="true" outlineLevel="0" collapsed="false">
      <c r="B11" s="92"/>
      <c r="C11" s="93"/>
      <c r="D11" s="94"/>
      <c r="E11" s="95"/>
      <c r="F11" s="95"/>
      <c r="G11" s="85" t="str">
        <f aca="true">IF(F11="","",IF(F11&lt;TODAY(),"OVERDUE","Current"))</f>
        <v/>
      </c>
      <c r="H11" s="96"/>
    </row>
    <row r="12" customFormat="false" ht="19.5" hidden="false" customHeight="true" outlineLevel="0" collapsed="false">
      <c r="B12" s="92"/>
      <c r="C12" s="93"/>
      <c r="D12" s="94"/>
      <c r="E12" s="95"/>
      <c r="F12" s="95"/>
      <c r="G12" s="85" t="str">
        <f aca="true">IF(F12="","",IF(F12&lt;TODAY(),"OVERDUE","Current"))</f>
        <v/>
      </c>
      <c r="H12" s="96"/>
    </row>
    <row r="13" customFormat="false" ht="19.5" hidden="false" customHeight="true" outlineLevel="0" collapsed="false">
      <c r="B13" s="92"/>
      <c r="C13" s="93"/>
      <c r="D13" s="94"/>
      <c r="E13" s="95"/>
      <c r="F13" s="95"/>
      <c r="G13" s="85" t="str">
        <f aca="true">IF(F13="","",IF(F13&lt;TODAY(),"OVERDUE","Current"))</f>
        <v/>
      </c>
      <c r="H13" s="96"/>
    </row>
    <row r="14" customFormat="false" ht="19.5" hidden="false" customHeight="true" outlineLevel="0" collapsed="false">
      <c r="B14" s="92"/>
      <c r="C14" s="93"/>
      <c r="D14" s="94"/>
      <c r="E14" s="95"/>
      <c r="F14" s="95"/>
      <c r="G14" s="85" t="str">
        <f aca="true">IF(F14="","",IF(F14&lt;TODAY(),"OVERDUE","Current"))</f>
        <v/>
      </c>
      <c r="H14" s="96"/>
    </row>
    <row r="15" customFormat="false" ht="19.5" hidden="false" customHeight="true" outlineLevel="0" collapsed="false">
      <c r="B15" s="92"/>
      <c r="C15" s="93"/>
      <c r="D15" s="94"/>
      <c r="E15" s="95"/>
      <c r="F15" s="95"/>
      <c r="G15" s="85" t="str">
        <f aca="true">IF(F15="","",IF(F15&lt;TODAY(),"OVERDUE","Current"))</f>
        <v/>
      </c>
      <c r="H15" s="96"/>
    </row>
    <row r="16" customFormat="false" ht="19.5" hidden="false" customHeight="true" outlineLevel="0" collapsed="false">
      <c r="B16" s="92"/>
      <c r="C16" s="93"/>
      <c r="D16" s="94"/>
      <c r="E16" s="95"/>
      <c r="F16" s="95"/>
      <c r="G16" s="85" t="str">
        <f aca="true">IF(F16="","",IF(F16&lt;TODAY(),"OVERDUE","Current"))</f>
        <v/>
      </c>
      <c r="H16" s="96"/>
    </row>
    <row r="17" customFormat="false" ht="19.5" hidden="false" customHeight="true" outlineLevel="0" collapsed="false">
      <c r="B17" s="92"/>
      <c r="C17" s="93"/>
      <c r="D17" s="94"/>
      <c r="E17" s="95"/>
      <c r="F17" s="95"/>
      <c r="G17" s="85" t="str">
        <f aca="true">IF(F17="","",IF(F17&lt;TODAY(),"OVERDUE","Current"))</f>
        <v/>
      </c>
      <c r="H17" s="96"/>
    </row>
    <row r="18" customFormat="false" ht="19.5" hidden="false" customHeight="true" outlineLevel="0" collapsed="false">
      <c r="B18" s="92"/>
      <c r="C18" s="93"/>
      <c r="D18" s="94"/>
      <c r="E18" s="95"/>
      <c r="F18" s="95"/>
      <c r="G18" s="85" t="str">
        <f aca="true">IF(F18="","",IF(F18&lt;TODAY(),"OVERDUE","Current"))</f>
        <v/>
      </c>
      <c r="H18" s="96"/>
    </row>
    <row r="19" customFormat="false" ht="19.5" hidden="false" customHeight="true" outlineLevel="0" collapsed="false">
      <c r="B19" s="92"/>
      <c r="C19" s="93"/>
      <c r="D19" s="94"/>
      <c r="E19" s="95"/>
      <c r="F19" s="95"/>
      <c r="G19" s="85" t="str">
        <f aca="true">IF(F19="","",IF(F19&lt;TODAY(),"OVERDUE","Current"))</f>
        <v/>
      </c>
      <c r="H19" s="96"/>
    </row>
    <row r="20" customFormat="false" ht="19.5" hidden="false" customHeight="true" outlineLevel="0" collapsed="false">
      <c r="B20" s="92"/>
      <c r="C20" s="93"/>
      <c r="D20" s="94"/>
      <c r="E20" s="95"/>
      <c r="F20" s="95"/>
      <c r="G20" s="85" t="str">
        <f aca="true">IF(F20="","",IF(F20&lt;TODAY(),"OVERDUE","Current"))</f>
        <v/>
      </c>
      <c r="H20" s="96"/>
    </row>
  </sheetData>
  <mergeCells count="2">
    <mergeCell ref="B2:H2"/>
    <mergeCell ref="B3:H3"/>
  </mergeCells>
  <conditionalFormatting sqref="G6:G20">
    <cfRule type="cellIs" priority="2" operator="equal" aboveAverage="0" equalAverage="0" bottom="0" percent="0" rank="0" text="" dxfId="2">
      <formula>"OVERDUE"</formula>
    </cfRule>
    <cfRule type="cellIs" priority="3" operator="equal" aboveAverage="0" equalAverage="0" bottom="0" percent="0" rank="0" text="" dxfId="0">
      <formula>"Current"</formula>
    </cfRule>
  </conditionalFormatting>
  <dataValidations count="1">
    <dataValidation allowBlank="true" errorStyle="stop" operator="between" showDropDown="false" showErrorMessage="false" showInputMessage="false" sqref="D6:D20" type="list">
      <formula1>Lists!$A$2:$A$5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20"/>
  </cols>
  <sheetData>
    <row r="2" customFormat="false" ht="30" hidden="false" customHeight="true" outlineLevel="0" collapsed="false">
      <c r="B2" s="17" t="s">
        <v>269</v>
      </c>
      <c r="C2" s="17"/>
      <c r="D2" s="17"/>
      <c r="E2" s="17"/>
      <c r="F2" s="17"/>
    </row>
    <row r="3" customFormat="false" ht="15.75" hidden="false" customHeight="true" outlineLevel="0" collapsed="false">
      <c r="B3" s="18" t="s">
        <v>270</v>
      </c>
      <c r="C3" s="18"/>
      <c r="D3" s="18"/>
      <c r="E3" s="18"/>
      <c r="F3" s="18"/>
    </row>
    <row r="5" customFormat="false" ht="25.5" hidden="false" customHeight="true" outlineLevel="0" collapsed="false">
      <c r="B5" s="24" t="s">
        <v>271</v>
      </c>
      <c r="C5" s="24" t="s">
        <v>272</v>
      </c>
      <c r="D5" s="24" t="s">
        <v>220</v>
      </c>
      <c r="E5" s="24" t="s">
        <v>273</v>
      </c>
      <c r="F5" s="24" t="s">
        <v>274</v>
      </c>
    </row>
    <row r="6" customFormat="false" ht="19.5" hidden="false" customHeight="true" outlineLevel="0" collapsed="false">
      <c r="B6" s="31" t="s">
        <v>224</v>
      </c>
      <c r="C6" s="97" t="n">
        <v>2</v>
      </c>
      <c r="D6" s="98" t="n">
        <v>5</v>
      </c>
      <c r="E6" s="84" t="n">
        <v>12</v>
      </c>
      <c r="F6" s="48" t="s">
        <v>275</v>
      </c>
    </row>
    <row r="7" customFormat="false" ht="19.5" hidden="false" customHeight="true" outlineLevel="0" collapsed="false">
      <c r="B7" s="99" t="s">
        <v>232</v>
      </c>
      <c r="C7" s="100" t="n">
        <v>0.002</v>
      </c>
      <c r="D7" s="101" t="n">
        <v>0.006</v>
      </c>
      <c r="E7" s="102" t="n">
        <v>0.015</v>
      </c>
      <c r="F7" s="103" t="s">
        <v>275</v>
      </c>
    </row>
    <row r="8" customFormat="false" ht="19.5" hidden="false" customHeight="true" outlineLevel="0" collapsed="false">
      <c r="B8" s="31" t="s">
        <v>230</v>
      </c>
      <c r="C8" s="104" t="n">
        <v>0.98</v>
      </c>
      <c r="D8" s="105" t="n">
        <v>0.85</v>
      </c>
      <c r="E8" s="89" t="n">
        <v>0.6</v>
      </c>
      <c r="F8" s="48" t="s">
        <v>276</v>
      </c>
    </row>
    <row r="9" customFormat="false" ht="19.5" hidden="false" customHeight="true" outlineLevel="0" collapsed="false">
      <c r="B9" s="99" t="s">
        <v>228</v>
      </c>
      <c r="C9" s="100" t="n">
        <v>0.02</v>
      </c>
      <c r="D9" s="101" t="n">
        <v>0.08</v>
      </c>
      <c r="E9" s="102" t="n">
        <v>0.18</v>
      </c>
      <c r="F9" s="103" t="s">
        <v>275</v>
      </c>
    </row>
    <row r="10" customFormat="false" ht="19.5" hidden="false" customHeight="true" outlineLevel="0" collapsed="false">
      <c r="B10" s="31" t="s">
        <v>277</v>
      </c>
      <c r="C10" s="104" t="n">
        <v>0.85</v>
      </c>
      <c r="D10" s="105" t="n">
        <v>0.65</v>
      </c>
      <c r="E10" s="89" t="n">
        <v>0.45</v>
      </c>
      <c r="F10" s="48" t="s">
        <v>276</v>
      </c>
    </row>
    <row r="11" customFormat="false" ht="19.5" hidden="false" customHeight="true" outlineLevel="0" collapsed="false">
      <c r="B11" s="99" t="s">
        <v>235</v>
      </c>
      <c r="C11" s="100" t="n">
        <v>0.98</v>
      </c>
      <c r="D11" s="101" t="n">
        <v>0.92</v>
      </c>
      <c r="E11" s="102" t="n">
        <v>0.82</v>
      </c>
      <c r="F11" s="103" t="s">
        <v>275</v>
      </c>
    </row>
    <row r="12" customFormat="false" ht="19.5" hidden="false" customHeight="true" outlineLevel="0" collapsed="false">
      <c r="B12" s="31" t="s">
        <v>278</v>
      </c>
      <c r="C12" s="97" t="n">
        <v>1</v>
      </c>
      <c r="D12" s="98" t="n">
        <v>3</v>
      </c>
      <c r="E12" s="84" t="n">
        <v>8</v>
      </c>
      <c r="F12" s="48" t="s">
        <v>276</v>
      </c>
    </row>
    <row r="13" customFormat="false" ht="19.5" hidden="false" customHeight="true" outlineLevel="0" collapsed="false">
      <c r="B13" s="99" t="s">
        <v>279</v>
      </c>
      <c r="C13" s="106" t="n">
        <v>25</v>
      </c>
      <c r="D13" s="107" t="n">
        <v>65</v>
      </c>
      <c r="E13" s="108" t="n">
        <v>150</v>
      </c>
      <c r="F13" s="103" t="s">
        <v>276</v>
      </c>
    </row>
  </sheetData>
  <mergeCells count="2">
    <mergeCell ref="B2:F2"/>
    <mergeCell ref="B3:F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2026-05-25T19:11:51Z</dcterms:created>
  <dc:creator>openpyxl</dc:creator>
  <dc:description/>
  <dc:language>en-US</dc:language>
  <cp:lastModifiedBy/>
  <dcterms:modified xsi:type="dcterms:W3CDTF">2026-05-25T19:11:51Z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