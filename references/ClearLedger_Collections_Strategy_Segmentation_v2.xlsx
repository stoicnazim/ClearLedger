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Segmentation Model" sheetId="3" state="visible" r:id="rId5"/>
    <sheet name="Collections Approach" sheetId="4" state="visible" r:id="rId6"/>
    <sheet name="Dunning Schedule" sheetId="5" state="visible" r:id="rId7"/>
    <sheet name="Call Plan Template" sheetId="6" state="visible" r:id="rId8"/>
    <sheet name="PTP Tracker" sheetId="7" state="visible" r:id="rId9"/>
    <sheet name="KPI Scorecard" sheetId="8" state="visible" r:id="rId10"/>
    <sheet name="Benchmarks" sheetId="9" state="visible" r:id="rId11"/>
    <sheet name="Lists" sheetId="10" state="hidden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<sst xmlns="http://schemas.openxmlformats.org/spreadsheetml/2006/main" count="295" uniqueCount="250">
  <si>
    <t xml:space="preserve">ClearLedger Advisory</t>
  </si>
  <si>
    <t xml:space="preserve">Collections Strategy</t>
  </si>
  <si>
    <t xml:space="preserve">&amp; Segmentation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</si>
  <si>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</si>
  <si>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</si>
  <si>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</si>
  <si>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</si>
  <si>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</si>
  <si>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</si>
  <si>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</si>
  <si>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</si>
  <si>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</si>
  <si>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</si>
  <si>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</si>
  <si>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</si>
  <si>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</si>
  <si>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</si>
  <si>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Risk-segmented collections operating model: customer segmentation, differentiated collection approaches, dunning schedules, call plans, promise-to-pay tracking, and a KPI scorecard with APQC benchmarks.</t>
  </si>
  <si>
    <t xml:space="preserve">  CONTENTS</t>
  </si>
  <si>
    <t xml:space="preserve">01</t>
  </si>
  <si>
    <t xml:space="preserve">Segmentation Model</t>
  </si>
  <si>
    <t xml:space="preserve">02</t>
  </si>
  <si>
    <t xml:space="preserve">Collections Approach</t>
  </si>
  <si>
    <t xml:space="preserve">03</t>
  </si>
  <si>
    <t xml:space="preserve">Dunning Schedule</t>
  </si>
  <si>
    <t xml:space="preserve">04</t>
  </si>
  <si>
    <t xml:space="preserve">Call Plan Template</t>
  </si>
  <si>
    <t xml:space="preserve">05</t>
  </si>
  <si>
    <t xml:space="preserve">PTP Tracker</t>
  </si>
  <si>
    <t xml:space="preserve">06</t>
  </si>
  <si>
    <t xml:space="preserve">KPI Scorecard</t>
  </si>
  <si>
    <t xml:space="preserve">KPIs · APQC v8.0 benchmarks · RAG status</t>
  </si>
  <si>
    <t xml:space="preserve">07</t>
  </si>
  <si>
    <t xml:space="preserve">Benchmarks</t>
  </si>
  <si>
    <t xml:space="preserve">APQC / Hackett reference data</t>
  </si>
  <si>
    <t xml:space="preserve">APQC PCF v8.0: 8.3.3.3 Manage Collections</t>
  </si>
  <si>
    <t xml:space="preserve">How to Use This Pack</t>
  </si>
  <si>
    <t xml:space="preserve">Follow these steps from diagnostic to deployment</t>
  </si>
  <si>
    <t xml:space="preserve">Step 1</t>
  </si>
  <si>
    <t xml:space="preserve">Segment Customers</t>
  </si>
  <si>
    <t xml:space="preserve">Use the Segmentation Model to tier your portfolio by value and risk.</t>
  </si>
  <si>
    <t xml:space="preserve">Step 2</t>
  </si>
  <si>
    <t xml:space="preserve">Define Approaches</t>
  </si>
  <si>
    <t xml:space="preserve">Select collections approach per segment from the matrix.</t>
  </si>
  <si>
    <t xml:space="preserve">Step 3</t>
  </si>
  <si>
    <t xml:space="preserve">Configure Dunning</t>
  </si>
  <si>
    <t xml:space="preserve">Set automated dunning frequency and content per segment.</t>
  </si>
  <si>
    <t xml:space="preserve">Step 4</t>
  </si>
  <si>
    <t xml:space="preserve">Track PTPs</t>
  </si>
  <si>
    <t xml:space="preserve">Log promises-to-pay and monitor compliance.</t>
  </si>
  <si>
    <t xml:space="preserve">Step 5</t>
  </si>
  <si>
    <t xml:space="preserve">Set Targets</t>
  </si>
  <si>
    <t xml:space="preserve">Enter your KPI values in the scorecard (blue cells).</t>
  </si>
  <si>
    <t xml:space="preserve">  ▸ Blue cells are inputs you edit. Black values are formula-driven — do not overtype them.</t>
  </si>
  <si>
    <t xml:space="preserve">Customer Segmentation Model</t>
  </si>
  <si>
    <t xml:space="preserve">Tier customers by annual revenue, risk rating, and payment behaviour. Blue cells = editable.</t>
  </si>
  <si>
    <t xml:space="preserve">Tier</t>
  </si>
  <si>
    <t xml:space="preserve">Annual Revenue</t>
  </si>
  <si>
    <t xml:space="preserve">Risk Rating</t>
  </si>
  <si>
    <t xml:space="preserve"># Customers</t>
  </si>
  <si>
    <t xml:space="preserve">AR Balance €</t>
  </si>
  <si>
    <t xml:space="preserve">Avg DSO</t>
  </si>
  <si>
    <t xml:space="preserve">Collection Approach</t>
  </si>
  <si>
    <t xml:space="preserve">Resource Allocation</t>
  </si>
  <si>
    <t xml:space="preserve">A — Strategic</t>
  </si>
  <si>
    <t xml:space="preserve">&gt;€5M</t>
  </si>
  <si>
    <t xml:space="preserve">A/B</t>
  </si>
  <si>
    <t xml:space="preserve">Dedicated Collector, Weekly Calls</t>
  </si>
  <si>
    <t xml:space="preserve">1 FTE per 20 customers</t>
  </si>
  <si>
    <t xml:space="preserve">B — Key</t>
  </si>
  <si>
    <t xml:space="preserve">€1M-5M</t>
  </si>
  <si>
    <t xml:space="preserve">A/B/C</t>
  </si>
  <si>
    <t xml:space="preserve">Dedicated Collector, Bi-Weekly</t>
  </si>
  <si>
    <t xml:space="preserve">1 FTE per 80 customers</t>
  </si>
  <si>
    <t xml:space="preserve">C — Standard</t>
  </si>
  <si>
    <t xml:space="preserve">€100K-1M</t>
  </si>
  <si>
    <t xml:space="preserve">A/B/C/D</t>
  </si>
  <si>
    <t xml:space="preserve">Pooled, Auto-Dunning + Email</t>
  </si>
  <si>
    <t xml:space="preserve">1 FTE per 300 customers</t>
  </si>
  <si>
    <t xml:space="preserve">D — Transactional</t>
  </si>
  <si>
    <t xml:space="preserve">&lt;€100K</t>
  </si>
  <si>
    <t xml:space="preserve">Any</t>
  </si>
  <si>
    <t xml:space="preserve">Fully Automated Dunning</t>
  </si>
  <si>
    <t xml:space="preserve">0.5 FTE per 1,000 customers</t>
  </si>
  <si>
    <t xml:space="preserve">Watch — High Risk</t>
  </si>
  <si>
    <t xml:space="preserve">C/D + Past Due</t>
  </si>
  <si>
    <t xml:space="preserve">Dedicated + Daily Follow-Up</t>
  </si>
  <si>
    <t xml:space="preserve">1 FTE per 40 accounts</t>
  </si>
  <si>
    <t xml:space="preserve">Collections Approach by Segment</t>
  </si>
  <si>
    <t xml:space="preserve">Match collection intensity to segment value and risk profile</t>
  </si>
  <si>
    <t xml:space="preserve">Segment</t>
  </si>
  <si>
    <t xml:space="preserve">Dunning Frequency</t>
  </si>
  <si>
    <t xml:space="preserve">Call Frequency</t>
  </si>
  <si>
    <t xml:space="preserve">Email Frequency</t>
  </si>
  <si>
    <t xml:space="preserve">Escalation Trigger</t>
  </si>
  <si>
    <t xml:space="preserve">Special Handling</t>
  </si>
  <si>
    <t xml:space="preserve">Daily (Day 1 past due)</t>
  </si>
  <si>
    <t xml:space="preserve">Weekly</t>
  </si>
  <si>
    <t xml:space="preserve">Bi-Weekly</t>
  </si>
  <si>
    <t xml:space="preserve">Day 15 past due → AR Manager</t>
  </si>
  <si>
    <t xml:space="preserve">Relationship-based. VP-level escalation.</t>
  </si>
  <si>
    <t xml:space="preserve">Daily (Day 3 past due)</t>
  </si>
  <si>
    <t xml:space="preserve">Day 21 past due → Credit Manager</t>
  </si>
  <si>
    <t xml:space="preserve">Standard escalation. Flexible terms.</t>
  </si>
  <si>
    <t xml:space="preserve">Auto (Day 7, 14, 21)</t>
  </si>
  <si>
    <t xml:space="preserve">Monthly</t>
  </si>
  <si>
    <t xml:space="preserve">Weekly Auto</t>
  </si>
  <si>
    <t xml:space="preserve">Day 45 past due → Auto Block</t>
  </si>
  <si>
    <t xml:space="preserve">Process-driven. Limited human touch.</t>
  </si>
  <si>
    <t xml:space="preserve">Auto (Day 7, 21, 35)</t>
  </si>
  <si>
    <t xml:space="preserve">Exception Only</t>
  </si>
  <si>
    <t xml:space="preserve">Auto Dunning</t>
  </si>
  <si>
    <t xml:space="preserve">Day 60 past due → Write-Off Review</t>
  </si>
  <si>
    <t xml:space="preserve">Fully automated. Prepay for new orders.</t>
  </si>
  <si>
    <t xml:space="preserve">Daily + Phone Alert</t>
  </si>
  <si>
    <t xml:space="preserve">Daily</t>
  </si>
  <si>
    <t xml:space="preserve">Daily Auto</t>
  </si>
  <si>
    <t xml:space="preserve">Day 7 past due → Hold All Orders</t>
  </si>
  <si>
    <t xml:space="preserve">Manual intervention from first overdue day.</t>
  </si>
  <si>
    <t xml:space="preserve">Automated Dunning Schedule</t>
  </si>
  <si>
    <t xml:space="preserve">Dunning sequence by segment. Configure content and channel per touchpoint.</t>
  </si>
  <si>
    <t xml:space="preserve">Touchpoint</t>
  </si>
  <si>
    <t xml:space="preserve">Trigger Day</t>
  </si>
  <si>
    <t xml:space="preserve">Content</t>
  </si>
  <si>
    <t xml:space="preserve">Channel</t>
  </si>
  <si>
    <t xml:space="preserve">Segment Applicable</t>
  </si>
  <si>
    <t xml:space="preserve">1 — Friendly Reminder</t>
  </si>
  <si>
    <t xml:space="preserve">Day 1</t>
  </si>
  <si>
    <t xml:space="preserve">Statement showing open items. No overdue mention.</t>
  </si>
  <si>
    <t xml:space="preserve">Email (Auto)</t>
  </si>
  <si>
    <t xml:space="preserve">A, B, C, D</t>
  </si>
  <si>
    <t xml:space="preserve">2 — Due Date Reminder</t>
  </si>
  <si>
    <t xml:space="preserve">Day -3 to Due</t>
  </si>
  <si>
    <t xml:space="preserve">Upcoming due date. Payment options. Portal link.</t>
  </si>
  <si>
    <t xml:space="preserve">A, B</t>
  </si>
  <si>
    <t xml:space="preserve">3 — First Overdue Notice</t>
  </si>
  <si>
    <t xml:space="preserve">Day 7</t>
  </si>
  <si>
    <t xml:space="preserve">Overdue amount. Late fee disclosure. Portal link.</t>
  </si>
  <si>
    <t xml:space="preserve">A, B, C</t>
  </si>
  <si>
    <t xml:space="preserve">4 — Second Overdue Notice</t>
  </si>
  <si>
    <t xml:space="preserve">Day 14</t>
  </si>
  <si>
    <t xml:space="preserve">Overdue + interest charges. Urgent payment request.</t>
  </si>
  <si>
    <t xml:space="preserve">Email + SMS</t>
  </si>
  <si>
    <t xml:space="preserve">5 — Final Notice (Pre-Legal)</t>
  </si>
  <si>
    <t xml:space="preserve">Day 21</t>
  </si>
  <si>
    <t xml:space="preserve">Final demand. Legal action warning. Contact escalation.</t>
  </si>
  <si>
    <t xml:space="preserve">Email + Post</t>
  </si>
  <si>
    <t xml:space="preserve">6 — Auto Phone Call (IVR)</t>
  </si>
  <si>
    <t xml:space="preserve">Day 10</t>
  </si>
  <si>
    <t xml:space="preserve">Automated payment reminder via IVR.</t>
  </si>
  <si>
    <t xml:space="preserve">Phone (Auto)</t>
  </si>
  <si>
    <t xml:space="preserve">C, D</t>
  </si>
  <si>
    <t xml:space="preserve">7 — Collector Assignment</t>
  </si>
  <si>
    <t xml:space="preserve">Day 3 (A) / Day 7 (B)</t>
  </si>
  <si>
    <t xml:space="preserve">Manual outreach by assigned collector.</t>
  </si>
  <si>
    <t xml:space="preserve">Phone + Email</t>
  </si>
  <si>
    <t xml:space="preserve">8 — Order Hold Notification</t>
  </si>
  <si>
    <t xml:space="preserve">Day 21 (B) / Day 14 (C)</t>
  </si>
  <si>
    <t xml:space="preserve">Orders on hold due to past due balance.</t>
  </si>
  <si>
    <t xml:space="preserve">B, C, D</t>
  </si>
  <si>
    <t xml:space="preserve">9 — Legal / 3rd Party Referral</t>
  </si>
  <si>
    <t xml:space="preserve">Day 60</t>
  </si>
  <si>
    <t xml:space="preserve">Account referred to external collections or legal.</t>
  </si>
  <si>
    <t xml:space="preserve">Post + Email</t>
  </si>
  <si>
    <t xml:space="preserve">Weekly Collections Call Plan</t>
  </si>
  <si>
    <t xml:space="preserve">Plan and prioritise collection calls. Auto-calculates priority score.</t>
  </si>
  <si>
    <t xml:space="preserve">Customer</t>
  </si>
  <si>
    <t xml:space="preserve">Days Past Due</t>
  </si>
  <si>
    <t xml:space="preserve">Priority Score</t>
  </si>
  <si>
    <t xml:space="preserve">Collector</t>
  </si>
  <si>
    <t xml:space="preserve">Action/Notes</t>
  </si>
  <si>
    <t xml:space="preserve">Promise-to-Pay Tracker</t>
  </si>
  <si>
    <t xml:space="preserve">Log PTPs and monitor compliance. Auto-calculates PTP KPIs.</t>
  </si>
  <si>
    <t xml:space="preserve">Promise Date</t>
  </si>
  <si>
    <t xml:space="preserve">Promise Amount</t>
  </si>
  <si>
    <t xml:space="preserve">Status</t>
  </si>
  <si>
    <t xml:space="preserve">Fulfilled?</t>
  </si>
  <si>
    <t xml:space="preserve">Broken Reason</t>
  </si>
  <si>
    <t xml:space="preserve">KPI Scorecard — Collections</t>
  </si>
  <si>
    <t xml:space="preserve">APQC PCF v8.0. Blue = editable.</t>
  </si>
  <si>
    <t xml:space="preserve">KPI</t>
  </si>
  <si>
    <t xml:space="preserve">Current</t>
  </si>
  <si>
    <t xml:space="preserve">Target</t>
  </si>
  <si>
    <t xml:space="preserve">Top</t>
  </si>
  <si>
    <t xml:space="preserve">Median</t>
  </si>
  <si>
    <t xml:space="preserve">Bottom</t>
  </si>
  <si>
    <t xml:space="preserve">APQC</t>
  </si>
  <si>
    <t xml:space="preserve">Definition</t>
  </si>
  <si>
    <t xml:space="preserve">CEI (%)</t>
  </si>
  <si>
    <t xml:space="preserve">8.3.3.4.5</t>
  </si>
  <si>
    <t xml:space="preserve">Receipts ÷ (Receivables + Sales) × AR</t>
  </si>
  <si>
    <t xml:space="preserve">DSO (days)</t>
  </si>
  <si>
    <t xml:space="preserve">AR ÷ (Revenue/365)</t>
  </si>
  <si>
    <t xml:space="preserve">AR &gt;90 Days (%)</t>
  </si>
  <si>
    <t xml:space="preserve">AR &gt;90d ÷ Total AR</t>
  </si>
  <si>
    <t xml:space="preserve">PTP Compliance Rate (%)</t>
  </si>
  <si>
    <t xml:space="preserve">8.3.3.4.4</t>
  </si>
  <si>
    <t xml:space="preserve">PTPs kept ÷ Total PTPs</t>
  </si>
  <si>
    <t xml:space="preserve">Collector Call Connect Rate (%)</t>
  </si>
  <si>
    <t xml:space="preserve">8.3.3.4.3</t>
  </si>
  <si>
    <t xml:space="preserve">Connected ÷ Total dialled</t>
  </si>
  <si>
    <t xml:space="preserve">Right-Party Contact Rate (%)</t>
  </si>
  <si>
    <t xml:space="preserve">Decision-maker reached ÷ Connected</t>
  </si>
  <si>
    <t xml:space="preserve">Collection Effectiveness (%)</t>
  </si>
  <si>
    <t xml:space="preserve">Collected ÷ Allocated AR</t>
  </si>
  <si>
    <t xml:space="preserve">Auto-Dunning Adoption (%)</t>
  </si>
  <si>
    <t xml:space="preserve">8.3.3.4.2</t>
  </si>
  <si>
    <t xml:space="preserve">Auto-dunned ÷ Total overdue</t>
  </si>
  <si>
    <t xml:space="preserve">Escalation Rate (%)</t>
  </si>
  <si>
    <t xml:space="preserve">Escalated ÷ Total accounts</t>
  </si>
  <si>
    <t xml:space="preserve">Cost per Collection (€)</t>
  </si>
  <si>
    <t xml:space="preserve">8.3.3.4.7</t>
  </si>
  <si>
    <t xml:space="preserve">Total collection cost ÷ Accounts</t>
  </si>
  <si>
    <t xml:space="preserve">RAG status compares Current vs Target (direction-aware). Edit blue cells to update.</t>
  </si>
  <si>
    <t xml:space="preserve">APQC / HACKETT — Collections Benchmarks</t>
  </si>
  <si>
    <t xml:space="preserve">APQC PCF v8.0 and Hackett Group 2026</t>
  </si>
  <si>
    <t xml:space="preserve">Metric</t>
  </si>
  <si>
    <t xml:space="preserve">Source</t>
  </si>
  <si>
    <t xml:space="preserve">APQC PCF v8.0</t>
  </si>
  <si>
    <t xml:space="preserve">Hackett 2026</t>
  </si>
  <si>
    <t xml:space="preserve">PTP Compliance (%)</t>
  </si>
  <si>
    <t xml:space="preserve">Collector Connect Rate (%)</t>
  </si>
  <si>
    <t xml:space="preserve">Collector Productivity (accts)</t>
  </si>
  <si>
    <t xml:space="preserve">PTP Status</t>
  </si>
  <si>
    <t xml:space="preserve">Contact Outcome</t>
  </si>
  <si>
    <t xml:space="preserve">Priority</t>
  </si>
  <si>
    <t xml:space="preserve">Action</t>
  </si>
  <si>
    <t xml:space="preserve">A - Strategic</t>
  </si>
  <si>
    <t xml:space="preserve">Kept</t>
  </si>
  <si>
    <t xml:space="preserve">Connected</t>
  </si>
  <si>
    <t xml:space="preserve">High</t>
  </si>
  <si>
    <t xml:space="preserve">Call</t>
  </si>
  <si>
    <t xml:space="preserve">B - Key</t>
  </si>
  <si>
    <t xml:space="preserve">Partially Kept</t>
  </si>
  <si>
    <t xml:space="preserve">Voicemail</t>
  </si>
  <si>
    <t xml:space="preserve">Medium</t>
  </si>
  <si>
    <t xml:space="preserve">Email</t>
  </si>
  <si>
    <t xml:space="preserve">C - Standard</t>
  </si>
  <si>
    <t xml:space="preserve">Broken</t>
  </si>
  <si>
    <t xml:space="preserve">No Answer</t>
  </si>
  <si>
    <t xml:space="preserve">Low</t>
  </si>
  <si>
    <t xml:space="preserve">Send Statement</t>
  </si>
  <si>
    <t xml:space="preserve">D - Transactional</t>
  </si>
  <si>
    <t xml:space="preserve">Rescheduled</t>
  </si>
  <si>
    <t xml:space="preserve">Wrong Number</t>
  </si>
  <si>
    <t xml:space="preserve">Escalate</t>
  </si>
  <si>
    <t xml:space="preserve">Watch - High Risk</t>
  </si>
  <si>
    <t xml:space="preserve">Pending</t>
  </si>
  <si>
    <t xml:space="preserve">Left Message</t>
  </si>
  <si>
    <t xml:space="preserve">Promise Follow-up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</si>
</sst>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\%"/>
    <numFmt numFmtId="166" formatCode="0.0"/>
    <numFmt numFmtId="167" formatCode="\€#,##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2"/>
      <color rgb="FFFFFFFF"/>
      <name val="Arial"/>
      <family val="0"/>
      <charset val="1"/>
    </font>
    <font>
      <b val="true"/>
      <sz val="32"/>
      <color rgb="FFE8D58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8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47857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47857"/>
        <sz val="9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B45309"/>
        <sz val="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B91C1C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2E8F0"/>
      <rgbColor rgb="FF6E7681"/>
      <rgbColor rgb="FF9999FF"/>
      <rgbColor rgb="FFB45309"/>
      <rgbColor rgb="FFFEF3C7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FF6FF"/>
      <rgbColor rgb="FFD1FAE5"/>
      <rgbColor rgb="FFFEE2E2"/>
      <rgbColor rgb="FFF1F5F9"/>
      <rgbColor rgb="FFFF99CC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B91C1C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9" min="5" style="0" width="12"/>
    <col collapsed="false" customWidth="true" hidden="false" outlineLevel="0" max="10" min="10" style="0" width="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2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2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1"/>
      <c r="L12" s="1"/>
    </row>
    <row r="13" customFormat="false" ht="19.5" hidden="false" customHeight="true" outlineLevel="0" collapsed="false">
      <c r="A13" s="1"/>
      <c r="B13" s="9" t="s">
        <v>6</v>
      </c>
      <c r="C13" s="10" t="s">
        <v>7</v>
      </c>
      <c r="D13" s="10"/>
      <c r="E13" s="10"/>
      <c r="F13" s="10"/>
      <c r="G13" s="10"/>
      <c r="H13" s="10"/>
      <c r="I13" s="10"/>
      <c r="J13" s="10"/>
      <c r="K13" s="1"/>
      <c r="L13" s="1"/>
    </row>
    <row r="14" customFormat="false" ht="19.5" hidden="false" customHeight="true" outlineLevel="0" collapsed="false">
      <c r="A14" s="1"/>
      <c r="B14" s="9" t="s">
        <v>8</v>
      </c>
      <c r="C14" s="10" t="s">
        <v>9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10</v>
      </c>
      <c r="C15" s="10" t="s">
        <v>11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12</v>
      </c>
      <c r="C16" s="11" t="s">
        <v>13</v>
      </c>
      <c r="D16" s="11"/>
      <c r="E16" s="11"/>
      <c r="F16" s="11"/>
      <c r="G16" s="11"/>
      <c r="H16" s="11"/>
      <c r="I16" s="11"/>
      <c r="J16" s="11"/>
      <c r="K16" s="1"/>
      <c r="L16" s="1"/>
    </row>
    <row r="17" customFormat="false" ht="19.5" hidden="false" customHeight="true" outlineLevel="0" collapsed="false">
      <c r="A17" s="1"/>
      <c r="B17" s="9" t="s">
        <v>14</v>
      </c>
      <c r="C17" s="11" t="s">
        <v>15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8" t="s">
        <v>16</v>
      </c>
      <c r="C19" s="8"/>
      <c r="D19" s="8"/>
      <c r="E19" s="8"/>
      <c r="F19" s="8"/>
      <c r="G19" s="8"/>
      <c r="H19" s="8"/>
      <c r="I19" s="8"/>
      <c r="J19" s="8"/>
      <c r="K19" s="1"/>
      <c r="L19" s="1"/>
    </row>
    <row r="20" customFormat="false" ht="15" hidden="false" customHeight="true" outlineLevel="0" collapsed="false">
      <c r="A20" s="1"/>
      <c r="B20" s="12" t="s">
        <v>17</v>
      </c>
      <c r="C20" s="12"/>
      <c r="D20" s="12"/>
      <c r="E20" s="12"/>
      <c r="F20" s="12"/>
      <c r="G20" s="12"/>
      <c r="H20" s="12"/>
      <c r="I20" s="12"/>
      <c r="J20" s="12"/>
      <c r="K20" s="1"/>
      <c r="L20" s="1"/>
    </row>
    <row r="21" customFormat="false" ht="15" hidden="false" customHeight="false" outlineLevel="0" collapsed="false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8" t="s">
        <v>18</v>
      </c>
      <c r="C25" s="8"/>
      <c r="D25" s="8"/>
      <c r="E25" s="8"/>
      <c r="F25" s="8"/>
      <c r="G25" s="8"/>
      <c r="H25" s="8"/>
      <c r="I25" s="8"/>
      <c r="J25" s="8"/>
      <c r="K25" s="1"/>
      <c r="L25" s="1"/>
    </row>
    <row r="26" customFormat="false" ht="18" hidden="false" customHeight="true" outlineLevel="0" collapsed="false">
      <c r="A26" s="1"/>
      <c r="B26" s="13" t="s">
        <v>19</v>
      </c>
      <c r="C26" s="14" t="s">
        <v>20</v>
      </c>
      <c r="D26" s="14"/>
      <c r="E26" s="15" t="s">
        <v>20</v>
      </c>
      <c r="F26" s="15"/>
      <c r="G26" s="15"/>
      <c r="H26" s="15"/>
      <c r="I26" s="15"/>
      <c r="J26" s="15"/>
      <c r="K26" s="1"/>
      <c r="L26" s="1"/>
    </row>
    <row r="27" customFormat="false" ht="18" hidden="false" customHeight="true" outlineLevel="0" collapsed="false">
      <c r="A27" s="1"/>
      <c r="B27" s="13" t="s">
        <v>21</v>
      </c>
      <c r="C27" s="14" t="s">
        <v>22</v>
      </c>
      <c r="D27" s="14"/>
      <c r="E27" s="15" t="s">
        <v>22</v>
      </c>
      <c r="F27" s="15"/>
      <c r="G27" s="15"/>
      <c r="H27" s="15"/>
      <c r="I27" s="15"/>
      <c r="J27" s="15"/>
      <c r="K27" s="1"/>
      <c r="L27" s="1"/>
    </row>
    <row r="28" customFormat="false" ht="18" hidden="false" customHeight="true" outlineLevel="0" collapsed="false">
      <c r="A28" s="1"/>
      <c r="B28" s="13" t="s">
        <v>23</v>
      </c>
      <c r="C28" s="14" t="s">
        <v>24</v>
      </c>
      <c r="D28" s="14"/>
      <c r="E28" s="15" t="s">
        <v>24</v>
      </c>
      <c r="F28" s="15"/>
      <c r="G28" s="15"/>
      <c r="H28" s="15"/>
      <c r="I28" s="15"/>
      <c r="J28" s="15"/>
      <c r="K28" s="1"/>
      <c r="L28" s="1"/>
    </row>
    <row r="29" customFormat="false" ht="18" hidden="false" customHeight="true" outlineLevel="0" collapsed="false">
      <c r="A29" s="1"/>
      <c r="B29" s="13" t="s">
        <v>25</v>
      </c>
      <c r="C29" s="14" t="s">
        <v>26</v>
      </c>
      <c r="D29" s="14"/>
      <c r="E29" s="15" t="s">
        <v>26</v>
      </c>
      <c r="F29" s="15"/>
      <c r="G29" s="15"/>
      <c r="H29" s="15"/>
      <c r="I29" s="15"/>
      <c r="J29" s="15"/>
      <c r="K29" s="1"/>
      <c r="L29" s="1"/>
    </row>
    <row r="30" customFormat="false" ht="18" hidden="false" customHeight="true" outlineLevel="0" collapsed="false">
      <c r="A30" s="1"/>
      <c r="B30" s="13" t="s">
        <v>27</v>
      </c>
      <c r="C30" s="14" t="s">
        <v>28</v>
      </c>
      <c r="D30" s="14"/>
      <c r="E30" s="15" t="s">
        <v>28</v>
      </c>
      <c r="F30" s="15"/>
      <c r="G30" s="15"/>
      <c r="H30" s="15"/>
      <c r="I30" s="15"/>
      <c r="J30" s="15"/>
      <c r="K30" s="1"/>
      <c r="L30" s="1"/>
    </row>
    <row r="31" customFormat="false" ht="18" hidden="false" customHeight="true" outlineLevel="0" collapsed="false">
      <c r="A31" s="1"/>
      <c r="B31" s="13" t="s">
        <v>29</v>
      </c>
      <c r="C31" s="14" t="s">
        <v>30</v>
      </c>
      <c r="D31" s="14"/>
      <c r="E31" s="15" t="s">
        <v>31</v>
      </c>
      <c r="F31" s="15"/>
      <c r="G31" s="15"/>
      <c r="H31" s="15"/>
      <c r="I31" s="15"/>
      <c r="J31" s="15"/>
      <c r="K31" s="1"/>
      <c r="L31" s="1"/>
    </row>
    <row r="32" customFormat="false" ht="18" hidden="false" customHeight="true" outlineLevel="0" collapsed="false">
      <c r="A32" s="1"/>
      <c r="B32" s="13" t="s">
        <v>32</v>
      </c>
      <c r="C32" s="14" t="s">
        <v>33</v>
      </c>
      <c r="D32" s="14"/>
      <c r="E32" s="15" t="s">
        <v>34</v>
      </c>
      <c r="F32" s="15"/>
      <c r="G32" s="15"/>
      <c r="H32" s="15"/>
      <c r="I32" s="15"/>
      <c r="J32" s="15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6" t="s">
        <v>35</v>
      </c>
      <c r="C34" s="16"/>
      <c r="D34" s="16"/>
      <c r="E34" s="16"/>
      <c r="F34" s="16"/>
      <c r="G34" s="16"/>
      <c r="H34" s="16"/>
      <c r="I34" s="16"/>
      <c r="J34" s="16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30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B34:J34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36</v>
      </c>
      <c r="C2" s="17"/>
    </row>
    <row r="3" customFormat="false" ht="15.75" hidden="false" customHeight="true" outlineLevel="0" collapsed="false">
      <c r="B3" s="18" t="s">
        <v>37</v>
      </c>
      <c r="C3" s="18"/>
    </row>
    <row r="5" customFormat="false" ht="21.75" hidden="false" customHeight="true" outlineLevel="0" collapsed="false">
      <c r="B5" s="19" t="s">
        <v>38</v>
      </c>
      <c r="C5" s="20" t="s">
        <v>39</v>
      </c>
    </row>
    <row r="6" customFormat="false" ht="30" hidden="false" customHeight="true" outlineLevel="0" collapsed="false">
      <c r="B6" s="21"/>
      <c r="C6" s="22" t="s">
        <v>40</v>
      </c>
    </row>
    <row r="7" customFormat="false" ht="21.75" hidden="false" customHeight="true" outlineLevel="0" collapsed="false">
      <c r="B7" s="19" t="s">
        <v>41</v>
      </c>
      <c r="C7" s="20" t="s">
        <v>42</v>
      </c>
    </row>
    <row r="8" customFormat="false" ht="30" hidden="false" customHeight="true" outlineLevel="0" collapsed="false">
      <c r="B8" s="21"/>
      <c r="C8" s="22" t="s">
        <v>43</v>
      </c>
    </row>
    <row r="9" customFormat="false" ht="21.75" hidden="false" customHeight="true" outlineLevel="0" collapsed="false">
      <c r="B9" s="19" t="s">
        <v>44</v>
      </c>
      <c r="C9" s="20" t="s">
        <v>45</v>
      </c>
    </row>
    <row r="10" customFormat="false" ht="30" hidden="false" customHeight="true" outlineLevel="0" collapsed="false">
      <c r="B10" s="21"/>
      <c r="C10" s="22" t="s">
        <v>46</v>
      </c>
    </row>
    <row r="11" customFormat="false" ht="21.75" hidden="false" customHeight="true" outlineLevel="0" collapsed="false">
      <c r="B11" s="19" t="s">
        <v>47</v>
      </c>
      <c r="C11" s="20" t="s">
        <v>48</v>
      </c>
    </row>
    <row r="12" customFormat="false" ht="30" hidden="false" customHeight="true" outlineLevel="0" collapsed="false">
      <c r="B12" s="21"/>
      <c r="C12" s="22" t="s">
        <v>49</v>
      </c>
    </row>
    <row r="13" customFormat="false" ht="21.75" hidden="false" customHeight="true" outlineLevel="0" collapsed="false">
      <c r="B13" s="19" t="s">
        <v>50</v>
      </c>
      <c r="C13" s="20" t="s">
        <v>51</v>
      </c>
    </row>
    <row r="14" customFormat="false" ht="30" hidden="false" customHeight="true" outlineLevel="0" collapsed="false">
      <c r="B14" s="21"/>
      <c r="C14" s="22" t="s">
        <v>52</v>
      </c>
    </row>
    <row r="16" customFormat="false" ht="24" hidden="false" customHeight="true" outlineLevel="0" collapsed="false">
      <c r="B16" s="23" t="s">
        <v>53</v>
      </c>
      <c r="C16" s="23"/>
    </row>
  </sheetData>
  <mergeCells count="3">
    <mergeCell ref="B2:C2"/>
    <mergeCell ref="B3:C3"/>
    <mergeCell ref="B16:C16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5"/>
    <col collapsed="false" customWidth="true" hidden="false" outlineLevel="0" max="9" min="9" style="0" width="29"/>
  </cols>
  <sheetData>
    <row r="2" customFormat="false" ht="30" hidden="false" customHeight="true" outlineLevel="0" collapsed="false">
      <c r="B2" s="17" t="s">
        <v>54</v>
      </c>
      <c r="C2" s="17"/>
      <c r="D2" s="17"/>
      <c r="E2" s="17"/>
      <c r="F2" s="17"/>
      <c r="G2" s="17"/>
      <c r="H2" s="17"/>
      <c r="I2" s="17"/>
    </row>
    <row r="3" customFormat="false" ht="15.75" hidden="false" customHeight="true" outlineLevel="0" collapsed="false">
      <c r="B3" s="18" t="s">
        <v>55</v>
      </c>
      <c r="C3" s="18"/>
      <c r="D3" s="18"/>
      <c r="E3" s="18"/>
      <c r="F3" s="18"/>
      <c r="G3" s="18"/>
      <c r="H3" s="18"/>
      <c r="I3" s="18"/>
    </row>
    <row r="5" customFormat="false" ht="25.5" hidden="false" customHeight="true" outlineLevel="0" collapsed="false">
      <c r="B5" s="24" t="s">
        <v>56</v>
      </c>
      <c r="C5" s="24" t="s">
        <v>57</v>
      </c>
      <c r="D5" s="24" t="s">
        <v>58</v>
      </c>
      <c r="E5" s="24" t="s">
        <v>59</v>
      </c>
      <c r="F5" s="24" t="s">
        <v>60</v>
      </c>
      <c r="G5" s="24" t="s">
        <v>61</v>
      </c>
      <c r="H5" s="24" t="s">
        <v>62</v>
      </c>
      <c r="I5" s="24" t="s">
        <v>63</v>
      </c>
    </row>
    <row r="6" customFormat="false" ht="27.75" hidden="false" customHeight="true" outlineLevel="0" collapsed="false">
      <c r="B6" s="25" t="s">
        <v>64</v>
      </c>
      <c r="C6" s="26" t="s">
        <v>65</v>
      </c>
      <c r="D6" s="26" t="s">
        <v>66</v>
      </c>
      <c r="E6" s="26"/>
      <c r="F6" s="26"/>
      <c r="G6" s="26"/>
      <c r="H6" s="26" t="s">
        <v>67</v>
      </c>
      <c r="I6" s="26" t="s">
        <v>68</v>
      </c>
    </row>
    <row r="7" customFormat="false" ht="27.75" hidden="false" customHeight="true" outlineLevel="0" collapsed="false">
      <c r="B7" s="27" t="s">
        <v>69</v>
      </c>
      <c r="C7" s="28" t="s">
        <v>70</v>
      </c>
      <c r="D7" s="28" t="s">
        <v>71</v>
      </c>
      <c r="E7" s="28"/>
      <c r="F7" s="28"/>
      <c r="G7" s="28"/>
      <c r="H7" s="28" t="s">
        <v>72</v>
      </c>
      <c r="I7" s="28" t="s">
        <v>73</v>
      </c>
    </row>
    <row r="8" customFormat="false" ht="27.75" hidden="false" customHeight="true" outlineLevel="0" collapsed="false">
      <c r="B8" s="25" t="s">
        <v>74</v>
      </c>
      <c r="C8" s="26" t="s">
        <v>75</v>
      </c>
      <c r="D8" s="26" t="s">
        <v>76</v>
      </c>
      <c r="E8" s="26"/>
      <c r="F8" s="26"/>
      <c r="G8" s="26"/>
      <c r="H8" s="26" t="s">
        <v>77</v>
      </c>
      <c r="I8" s="26" t="s">
        <v>78</v>
      </c>
    </row>
    <row r="9" customFormat="false" ht="27.75" hidden="false" customHeight="true" outlineLevel="0" collapsed="false">
      <c r="B9" s="27" t="s">
        <v>79</v>
      </c>
      <c r="C9" s="28" t="s">
        <v>80</v>
      </c>
      <c r="D9" s="28" t="s">
        <v>81</v>
      </c>
      <c r="E9" s="28"/>
      <c r="F9" s="28"/>
      <c r="G9" s="28"/>
      <c r="H9" s="28" t="s">
        <v>82</v>
      </c>
      <c r="I9" s="28" t="s">
        <v>83</v>
      </c>
    </row>
    <row r="10" customFormat="false" ht="27.75" hidden="false" customHeight="true" outlineLevel="0" collapsed="false">
      <c r="B10" s="25" t="s">
        <v>84</v>
      </c>
      <c r="C10" s="26" t="s">
        <v>81</v>
      </c>
      <c r="D10" s="26" t="s">
        <v>85</v>
      </c>
      <c r="E10" s="26"/>
      <c r="F10" s="26"/>
      <c r="G10" s="26"/>
      <c r="H10" s="26" t="s">
        <v>86</v>
      </c>
      <c r="I10" s="26" t="s">
        <v>87</v>
      </c>
    </row>
  </sheetData>
  <mergeCells count="2">
    <mergeCell ref="B2:I2"/>
    <mergeCell ref="B3:I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36"/>
    <col collapsed="false" customWidth="true" hidden="false" outlineLevel="0" max="7" min="7" style="0" width="45"/>
  </cols>
  <sheetData>
    <row r="2" customFormat="false" ht="30" hidden="false" customHeight="true" outlineLevel="0" collapsed="false">
      <c r="B2" s="17" t="s">
        <v>88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89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90</v>
      </c>
      <c r="C5" s="24" t="s">
        <v>91</v>
      </c>
      <c r="D5" s="24" t="s">
        <v>92</v>
      </c>
      <c r="E5" s="24" t="s">
        <v>93</v>
      </c>
      <c r="F5" s="24" t="s">
        <v>94</v>
      </c>
      <c r="G5" s="24" t="s">
        <v>95</v>
      </c>
    </row>
    <row r="6" customFormat="false" ht="27.75" hidden="false" customHeight="true" outlineLevel="0" collapsed="false">
      <c r="B6" s="25" t="s">
        <v>64</v>
      </c>
      <c r="C6" s="26" t="s">
        <v>96</v>
      </c>
      <c r="D6" s="26" t="s">
        <v>97</v>
      </c>
      <c r="E6" s="26" t="s">
        <v>98</v>
      </c>
      <c r="F6" s="26" t="s">
        <v>99</v>
      </c>
      <c r="G6" s="26" t="s">
        <v>100</v>
      </c>
    </row>
    <row r="7" customFormat="false" ht="27.75" hidden="false" customHeight="true" outlineLevel="0" collapsed="false">
      <c r="B7" s="27" t="s">
        <v>69</v>
      </c>
      <c r="C7" s="28" t="s">
        <v>101</v>
      </c>
      <c r="D7" s="28" t="s">
        <v>98</v>
      </c>
      <c r="E7" s="28" t="s">
        <v>97</v>
      </c>
      <c r="F7" s="28" t="s">
        <v>102</v>
      </c>
      <c r="G7" s="28" t="s">
        <v>103</v>
      </c>
    </row>
    <row r="8" customFormat="false" ht="27.75" hidden="false" customHeight="true" outlineLevel="0" collapsed="false">
      <c r="B8" s="25" t="s">
        <v>74</v>
      </c>
      <c r="C8" s="26" t="s">
        <v>104</v>
      </c>
      <c r="D8" s="26" t="s">
        <v>105</v>
      </c>
      <c r="E8" s="26" t="s">
        <v>106</v>
      </c>
      <c r="F8" s="26" t="s">
        <v>107</v>
      </c>
      <c r="G8" s="26" t="s">
        <v>108</v>
      </c>
    </row>
    <row r="9" customFormat="false" ht="27.75" hidden="false" customHeight="true" outlineLevel="0" collapsed="false">
      <c r="B9" s="27" t="s">
        <v>79</v>
      </c>
      <c r="C9" s="28" t="s">
        <v>109</v>
      </c>
      <c r="D9" s="28" t="s">
        <v>110</v>
      </c>
      <c r="E9" s="28" t="s">
        <v>111</v>
      </c>
      <c r="F9" s="28" t="s">
        <v>112</v>
      </c>
      <c r="G9" s="28" t="s">
        <v>113</v>
      </c>
    </row>
    <row r="10" customFormat="false" ht="27.75" hidden="false" customHeight="true" outlineLevel="0" collapsed="false">
      <c r="B10" s="25" t="s">
        <v>84</v>
      </c>
      <c r="C10" s="26" t="s">
        <v>114</v>
      </c>
      <c r="D10" s="26" t="s">
        <v>115</v>
      </c>
      <c r="E10" s="26" t="s">
        <v>116</v>
      </c>
      <c r="F10" s="26" t="s">
        <v>117</v>
      </c>
      <c r="G10" s="26" t="s">
        <v>118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25"/>
    <col collapsed="false" customWidth="true" hidden="false" outlineLevel="0" max="4" min="4" style="0" width="48"/>
    <col collapsed="false" customWidth="true" hidden="false" outlineLevel="0" max="5" min="5" style="0" width="15"/>
    <col collapsed="false" customWidth="true" hidden="false" outlineLevel="0" max="6" min="6" style="0" width="20"/>
  </cols>
  <sheetData>
    <row r="2" customFormat="false" ht="30" hidden="false" customHeight="true" outlineLevel="0" collapsed="false">
      <c r="B2" s="17" t="s">
        <v>119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120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121</v>
      </c>
      <c r="C5" s="24" t="s">
        <v>122</v>
      </c>
      <c r="D5" s="24" t="s">
        <v>123</v>
      </c>
      <c r="E5" s="24" t="s">
        <v>124</v>
      </c>
      <c r="F5" s="24" t="s">
        <v>125</v>
      </c>
    </row>
    <row r="6" customFormat="false" ht="27.75" hidden="false" customHeight="true" outlineLevel="0" collapsed="false">
      <c r="B6" s="25" t="s">
        <v>126</v>
      </c>
      <c r="C6" s="26" t="s">
        <v>127</v>
      </c>
      <c r="D6" s="26" t="s">
        <v>128</v>
      </c>
      <c r="E6" s="26" t="s">
        <v>129</v>
      </c>
      <c r="F6" s="26" t="s">
        <v>130</v>
      </c>
    </row>
    <row r="7" customFormat="false" ht="27.75" hidden="false" customHeight="true" outlineLevel="0" collapsed="false">
      <c r="B7" s="27" t="s">
        <v>131</v>
      </c>
      <c r="C7" s="28" t="s">
        <v>132</v>
      </c>
      <c r="D7" s="28" t="s">
        <v>133</v>
      </c>
      <c r="E7" s="28" t="s">
        <v>129</v>
      </c>
      <c r="F7" s="28" t="s">
        <v>134</v>
      </c>
    </row>
    <row r="8" customFormat="false" ht="27.75" hidden="false" customHeight="true" outlineLevel="0" collapsed="false">
      <c r="B8" s="25" t="s">
        <v>135</v>
      </c>
      <c r="C8" s="26" t="s">
        <v>136</v>
      </c>
      <c r="D8" s="26" t="s">
        <v>137</v>
      </c>
      <c r="E8" s="26" t="s">
        <v>129</v>
      </c>
      <c r="F8" s="26" t="s">
        <v>138</v>
      </c>
    </row>
    <row r="9" customFormat="false" ht="27.75" hidden="false" customHeight="true" outlineLevel="0" collapsed="false">
      <c r="B9" s="27" t="s">
        <v>139</v>
      </c>
      <c r="C9" s="28" t="s">
        <v>140</v>
      </c>
      <c r="D9" s="28" t="s">
        <v>141</v>
      </c>
      <c r="E9" s="28" t="s">
        <v>142</v>
      </c>
      <c r="F9" s="28" t="s">
        <v>138</v>
      </c>
    </row>
    <row r="10" customFormat="false" ht="27.75" hidden="false" customHeight="true" outlineLevel="0" collapsed="false">
      <c r="B10" s="25" t="s">
        <v>143</v>
      </c>
      <c r="C10" s="26" t="s">
        <v>144</v>
      </c>
      <c r="D10" s="26" t="s">
        <v>145</v>
      </c>
      <c r="E10" s="26" t="s">
        <v>146</v>
      </c>
      <c r="F10" s="26" t="s">
        <v>134</v>
      </c>
    </row>
    <row r="11" customFormat="false" ht="27.75" hidden="false" customHeight="true" outlineLevel="0" collapsed="false">
      <c r="B11" s="27" t="s">
        <v>147</v>
      </c>
      <c r="C11" s="28" t="s">
        <v>148</v>
      </c>
      <c r="D11" s="28" t="s">
        <v>149</v>
      </c>
      <c r="E11" s="28" t="s">
        <v>150</v>
      </c>
      <c r="F11" s="28" t="s">
        <v>151</v>
      </c>
    </row>
    <row r="12" customFormat="false" ht="27.75" hidden="false" customHeight="true" outlineLevel="0" collapsed="false">
      <c r="B12" s="25" t="s">
        <v>152</v>
      </c>
      <c r="C12" s="26" t="s">
        <v>153</v>
      </c>
      <c r="D12" s="26" t="s">
        <v>154</v>
      </c>
      <c r="E12" s="26" t="s">
        <v>155</v>
      </c>
      <c r="F12" s="26" t="s">
        <v>134</v>
      </c>
    </row>
    <row r="13" customFormat="false" ht="27.75" hidden="false" customHeight="true" outlineLevel="0" collapsed="false">
      <c r="B13" s="27" t="s">
        <v>156</v>
      </c>
      <c r="C13" s="28" t="s">
        <v>157</v>
      </c>
      <c r="D13" s="28" t="s">
        <v>158</v>
      </c>
      <c r="E13" s="28" t="s">
        <v>129</v>
      </c>
      <c r="F13" s="28" t="s">
        <v>159</v>
      </c>
    </row>
    <row r="14" customFormat="false" ht="27.75" hidden="false" customHeight="true" outlineLevel="0" collapsed="false">
      <c r="B14" s="25" t="s">
        <v>160</v>
      </c>
      <c r="C14" s="26" t="s">
        <v>161</v>
      </c>
      <c r="D14" s="26" t="s">
        <v>162</v>
      </c>
      <c r="E14" s="26" t="s">
        <v>163</v>
      </c>
      <c r="F14" s="26" t="s">
        <v>151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14"/>
  </cols>
  <sheetData>
    <row r="2" customFormat="false" ht="30" hidden="false" customHeight="true" outlineLevel="0" collapsed="false">
      <c r="B2" s="17" t="s">
        <v>164</v>
      </c>
      <c r="C2" s="17"/>
      <c r="D2" s="17"/>
      <c r="E2" s="17"/>
      <c r="F2" s="17"/>
      <c r="G2" s="17"/>
      <c r="H2" s="17"/>
    </row>
    <row r="3" customFormat="false" ht="15.75" hidden="false" customHeight="true" outlineLevel="0" collapsed="false">
      <c r="B3" s="18" t="s">
        <v>165</v>
      </c>
      <c r="C3" s="18"/>
      <c r="D3" s="18"/>
      <c r="E3" s="18"/>
      <c r="F3" s="18"/>
      <c r="G3" s="18"/>
      <c r="H3" s="18"/>
    </row>
    <row r="5" customFormat="false" ht="25.5" hidden="false" customHeight="true" outlineLevel="0" collapsed="false">
      <c r="B5" s="24" t="s">
        <v>166</v>
      </c>
      <c r="C5" s="24" t="s">
        <v>60</v>
      </c>
      <c r="D5" s="24" t="s">
        <v>167</v>
      </c>
      <c r="E5" s="24" t="s">
        <v>90</v>
      </c>
      <c r="F5" s="24" t="s">
        <v>168</v>
      </c>
      <c r="G5" s="24" t="s">
        <v>169</v>
      </c>
      <c r="H5" s="24" t="s">
        <v>170</v>
      </c>
    </row>
    <row r="6" customFormat="false" ht="27.75" hidden="false" customHeight="true" outlineLevel="0" collapsed="false">
      <c r="B6" s="25"/>
      <c r="C6" s="26"/>
      <c r="D6" s="26"/>
      <c r="E6" s="26"/>
      <c r="F6" s="26" t="str">
        <f aca="false">IF(B6="","",IFERROR(B6*C6/1000,0))</f>
        <v/>
      </c>
      <c r="G6" s="26"/>
      <c r="H6" s="26"/>
    </row>
    <row r="7" customFormat="false" ht="27.75" hidden="false" customHeight="true" outlineLevel="0" collapsed="false">
      <c r="B7" s="27"/>
      <c r="C7" s="28"/>
      <c r="D7" s="28"/>
      <c r="E7" s="28"/>
      <c r="F7" s="28" t="str">
        <f aca="false">IF(B7="","",IFERROR(B7*C7/1000,0))</f>
        <v/>
      </c>
      <c r="G7" s="28"/>
      <c r="H7" s="28"/>
    </row>
    <row r="8" customFormat="false" ht="27.75" hidden="false" customHeight="true" outlineLevel="0" collapsed="false">
      <c r="B8" s="25"/>
      <c r="C8" s="26"/>
      <c r="D8" s="26"/>
      <c r="E8" s="26"/>
      <c r="F8" s="26" t="str">
        <f aca="false">IF(B8="","",IFERROR(B8*C8/1000,0))</f>
        <v/>
      </c>
      <c r="G8" s="26"/>
      <c r="H8" s="26"/>
    </row>
    <row r="9" customFormat="false" ht="27.75" hidden="false" customHeight="true" outlineLevel="0" collapsed="false">
      <c r="B9" s="27"/>
      <c r="C9" s="28"/>
      <c r="D9" s="28"/>
      <c r="E9" s="28"/>
      <c r="F9" s="28" t="str">
        <f aca="false">IF(B9="","",IFERROR(B9*C9/1000,0))</f>
        <v/>
      </c>
      <c r="G9" s="28"/>
      <c r="H9" s="28"/>
    </row>
    <row r="10" customFormat="false" ht="27.75" hidden="false" customHeight="true" outlineLevel="0" collapsed="false">
      <c r="B10" s="25"/>
      <c r="C10" s="26"/>
      <c r="D10" s="26"/>
      <c r="E10" s="26"/>
      <c r="F10" s="26" t="str">
        <f aca="false">IF(B10="","",IFERROR(B10*C10/1000,0))</f>
        <v/>
      </c>
      <c r="G10" s="26"/>
      <c r="H10" s="26"/>
    </row>
    <row r="11" customFormat="false" ht="27.75" hidden="false" customHeight="true" outlineLevel="0" collapsed="false">
      <c r="B11" s="27"/>
      <c r="C11" s="28"/>
      <c r="D11" s="28"/>
      <c r="E11" s="28"/>
      <c r="F11" s="28" t="str">
        <f aca="false">IF(B11="","",IFERROR(B11*C11/1000,0))</f>
        <v/>
      </c>
      <c r="G11" s="28"/>
      <c r="H11" s="28"/>
    </row>
    <row r="12" customFormat="false" ht="27.75" hidden="false" customHeight="true" outlineLevel="0" collapsed="false">
      <c r="B12" s="25"/>
      <c r="C12" s="26"/>
      <c r="D12" s="26"/>
      <c r="E12" s="26"/>
      <c r="F12" s="26" t="str">
        <f aca="false">IF(B12="","",IFERROR(B12*C12/1000,0))</f>
        <v/>
      </c>
      <c r="G12" s="26"/>
      <c r="H12" s="26"/>
    </row>
    <row r="13" customFormat="false" ht="27.75" hidden="false" customHeight="true" outlineLevel="0" collapsed="false">
      <c r="B13" s="27"/>
      <c r="C13" s="28"/>
      <c r="D13" s="28"/>
      <c r="E13" s="28"/>
      <c r="F13" s="28" t="str">
        <f aca="false">IF(B13="","",IFERROR(B13*C13/1000,0))</f>
        <v/>
      </c>
      <c r="G13" s="28"/>
      <c r="H13" s="28"/>
    </row>
    <row r="14" customFormat="false" ht="27.75" hidden="false" customHeight="true" outlineLevel="0" collapsed="false">
      <c r="B14" s="25"/>
      <c r="C14" s="26"/>
      <c r="D14" s="26"/>
      <c r="E14" s="26"/>
      <c r="F14" s="26" t="str">
        <f aca="false">IF(B14="","",IFERROR(B14*C14/1000,0))</f>
        <v/>
      </c>
      <c r="G14" s="26"/>
      <c r="H14" s="26"/>
    </row>
    <row r="15" customFormat="false" ht="27.75" hidden="false" customHeight="true" outlineLevel="0" collapsed="false">
      <c r="B15" s="27"/>
      <c r="C15" s="28"/>
      <c r="D15" s="28"/>
      <c r="E15" s="28"/>
      <c r="F15" s="28" t="str">
        <f aca="false">IF(B15="","",IFERROR(B15*C15/1000,0))</f>
        <v/>
      </c>
      <c r="G15" s="28"/>
      <c r="H15" s="28"/>
    </row>
    <row r="16" customFormat="false" ht="27.75" hidden="false" customHeight="true" outlineLevel="0" collapsed="false">
      <c r="B16" s="25"/>
      <c r="C16" s="26"/>
      <c r="D16" s="26"/>
      <c r="E16" s="26"/>
      <c r="F16" s="26" t="str">
        <f aca="false">IF(B16="","",IFERROR(B16*C16/1000,0))</f>
        <v/>
      </c>
      <c r="G16" s="26"/>
      <c r="H16" s="26"/>
    </row>
    <row r="17" customFormat="false" ht="27.75" hidden="false" customHeight="true" outlineLevel="0" collapsed="false">
      <c r="B17" s="27"/>
      <c r="C17" s="28"/>
      <c r="D17" s="28"/>
      <c r="E17" s="28"/>
      <c r="F17" s="28" t="str">
        <f aca="false">IF(B17="","",IFERROR(B17*C17/1000,0))</f>
        <v/>
      </c>
      <c r="G17" s="28"/>
      <c r="H17" s="28"/>
    </row>
    <row r="18" customFormat="false" ht="27.75" hidden="false" customHeight="true" outlineLevel="0" collapsed="false">
      <c r="B18" s="25"/>
      <c r="C18" s="26"/>
      <c r="D18" s="26"/>
      <c r="E18" s="26"/>
      <c r="F18" s="26" t="str">
        <f aca="false">IF(B18="","",IFERROR(B18*C18/1000,0))</f>
        <v/>
      </c>
      <c r="G18" s="26"/>
      <c r="H18" s="26"/>
    </row>
    <row r="19" customFormat="false" ht="27.75" hidden="false" customHeight="true" outlineLevel="0" collapsed="false">
      <c r="B19" s="27"/>
      <c r="C19" s="28"/>
      <c r="D19" s="28"/>
      <c r="E19" s="28"/>
      <c r="F19" s="28" t="str">
        <f aca="false">IF(B19="","",IFERROR(B19*C19/1000,0))</f>
        <v/>
      </c>
      <c r="G19" s="28"/>
      <c r="H19" s="28"/>
    </row>
    <row r="20" customFormat="false" ht="27.75" hidden="false" customHeight="true" outlineLevel="0" collapsed="false">
      <c r="B20" s="25"/>
      <c r="C20" s="26"/>
      <c r="D20" s="26"/>
      <c r="E20" s="26"/>
      <c r="F20" s="26" t="str">
        <f aca="false">IF(B20="","",IFERROR(B20*C20/1000,0))</f>
        <v/>
      </c>
      <c r="G20" s="26"/>
      <c r="H20" s="26"/>
    </row>
  </sheetData>
  <mergeCells count="2">
    <mergeCell ref="B2:H2"/>
    <mergeCell ref="B3:H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5"/>
    <col collapsed="false" customWidth="true" hidden="false" outlineLevel="0" max="8" min="8" style="0" width="12"/>
  </cols>
  <sheetData>
    <row r="2" customFormat="false" ht="30" hidden="false" customHeight="true" outlineLevel="0" collapsed="false">
      <c r="B2" s="17" t="s">
        <v>171</v>
      </c>
      <c r="C2" s="17"/>
      <c r="D2" s="17"/>
      <c r="E2" s="17"/>
      <c r="F2" s="17"/>
      <c r="G2" s="17"/>
      <c r="H2" s="17"/>
    </row>
    <row r="3" customFormat="false" ht="15.75" hidden="false" customHeight="true" outlineLevel="0" collapsed="false">
      <c r="B3" s="18" t="s">
        <v>172</v>
      </c>
      <c r="C3" s="18"/>
      <c r="D3" s="18"/>
      <c r="E3" s="18"/>
      <c r="F3" s="18"/>
      <c r="G3" s="18"/>
      <c r="H3" s="18"/>
    </row>
    <row r="5" customFormat="false" ht="25.5" hidden="false" customHeight="true" outlineLevel="0" collapsed="false">
      <c r="B5" s="24" t="s">
        <v>166</v>
      </c>
      <c r="C5" s="24" t="s">
        <v>173</v>
      </c>
      <c r="D5" s="24" t="s">
        <v>174</v>
      </c>
      <c r="E5" s="24" t="s">
        <v>175</v>
      </c>
      <c r="F5" s="24" t="s">
        <v>176</v>
      </c>
      <c r="G5" s="24" t="s">
        <v>177</v>
      </c>
      <c r="H5" s="24" t="s">
        <v>169</v>
      </c>
    </row>
    <row r="6" customFormat="false" ht="27.75" hidden="false" customHeight="true" outlineLevel="0" collapsed="false">
      <c r="B6" s="25"/>
      <c r="C6" s="26"/>
      <c r="D6" s="26"/>
      <c r="E6" s="26"/>
      <c r="F6" s="26"/>
      <c r="G6" s="26"/>
      <c r="H6" s="26"/>
    </row>
    <row r="7" customFormat="false" ht="27.75" hidden="false" customHeight="true" outlineLevel="0" collapsed="false">
      <c r="B7" s="27"/>
      <c r="C7" s="28"/>
      <c r="D7" s="28"/>
      <c r="E7" s="28"/>
      <c r="F7" s="28"/>
      <c r="G7" s="28"/>
      <c r="H7" s="28"/>
    </row>
    <row r="8" customFormat="false" ht="27.75" hidden="false" customHeight="true" outlineLevel="0" collapsed="false">
      <c r="B8" s="25"/>
      <c r="C8" s="26"/>
      <c r="D8" s="26"/>
      <c r="E8" s="26"/>
      <c r="F8" s="26"/>
      <c r="G8" s="26"/>
      <c r="H8" s="26"/>
    </row>
    <row r="9" customFormat="false" ht="27.75" hidden="false" customHeight="true" outlineLevel="0" collapsed="false">
      <c r="B9" s="27"/>
      <c r="C9" s="28"/>
      <c r="D9" s="28"/>
      <c r="E9" s="28"/>
      <c r="F9" s="28"/>
      <c r="G9" s="28"/>
      <c r="H9" s="28"/>
    </row>
    <row r="10" customFormat="false" ht="27.75" hidden="false" customHeight="true" outlineLevel="0" collapsed="false">
      <c r="B10" s="25"/>
      <c r="C10" s="26"/>
      <c r="D10" s="26"/>
      <c r="E10" s="26"/>
      <c r="F10" s="26"/>
      <c r="G10" s="26"/>
      <c r="H10" s="26"/>
    </row>
    <row r="11" customFormat="false" ht="27.75" hidden="false" customHeight="true" outlineLevel="0" collapsed="false">
      <c r="B11" s="27"/>
      <c r="C11" s="28"/>
      <c r="D11" s="28"/>
      <c r="E11" s="28"/>
      <c r="F11" s="28"/>
      <c r="G11" s="28"/>
      <c r="H11" s="28"/>
    </row>
    <row r="12" customFormat="false" ht="27.75" hidden="false" customHeight="true" outlineLevel="0" collapsed="false">
      <c r="B12" s="25"/>
      <c r="C12" s="26"/>
      <c r="D12" s="26"/>
      <c r="E12" s="26"/>
      <c r="F12" s="26"/>
      <c r="G12" s="26"/>
      <c r="H12" s="26"/>
    </row>
    <row r="13" customFormat="false" ht="27.75" hidden="false" customHeight="true" outlineLevel="0" collapsed="false">
      <c r="B13" s="27"/>
      <c r="C13" s="28"/>
      <c r="D13" s="28"/>
      <c r="E13" s="28"/>
      <c r="F13" s="28"/>
      <c r="G13" s="28"/>
      <c r="H13" s="28"/>
    </row>
    <row r="14" customFormat="false" ht="27.75" hidden="false" customHeight="true" outlineLevel="0" collapsed="false">
      <c r="B14" s="25"/>
      <c r="C14" s="26"/>
      <c r="D14" s="26"/>
      <c r="E14" s="26"/>
      <c r="F14" s="26"/>
      <c r="G14" s="26"/>
      <c r="H14" s="26"/>
    </row>
    <row r="15" customFormat="false" ht="27.75" hidden="false" customHeight="true" outlineLevel="0" collapsed="false">
      <c r="B15" s="27"/>
      <c r="C15" s="28"/>
      <c r="D15" s="28"/>
      <c r="E15" s="28"/>
      <c r="F15" s="28"/>
      <c r="G15" s="28"/>
      <c r="H15" s="28"/>
    </row>
    <row r="16" customFormat="false" ht="27.75" hidden="false" customHeight="true" outlineLevel="0" collapsed="false">
      <c r="B16" s="25"/>
      <c r="C16" s="26"/>
      <c r="D16" s="26"/>
      <c r="E16" s="26"/>
      <c r="F16" s="26"/>
      <c r="G16" s="26"/>
      <c r="H16" s="26"/>
    </row>
    <row r="17" customFormat="false" ht="27.75" hidden="false" customHeight="true" outlineLevel="0" collapsed="false">
      <c r="B17" s="27"/>
      <c r="C17" s="28"/>
      <c r="D17" s="28"/>
      <c r="E17" s="28"/>
      <c r="F17" s="28"/>
      <c r="G17" s="28"/>
      <c r="H17" s="28"/>
    </row>
    <row r="18" customFormat="false" ht="27.75" hidden="false" customHeight="true" outlineLevel="0" collapsed="false">
      <c r="B18" s="25"/>
      <c r="C18" s="26"/>
      <c r="D18" s="26"/>
      <c r="E18" s="26"/>
      <c r="F18" s="26"/>
      <c r="G18" s="26"/>
      <c r="H18" s="26"/>
    </row>
    <row r="19" customFormat="false" ht="27.75" hidden="false" customHeight="true" outlineLevel="0" collapsed="false">
      <c r="B19" s="27"/>
      <c r="C19" s="28"/>
      <c r="D19" s="28"/>
      <c r="E19" s="28"/>
      <c r="F19" s="28"/>
      <c r="G19" s="28"/>
      <c r="H19" s="28"/>
    </row>
    <row r="20" customFormat="false" ht="27.75" hidden="false" customHeight="true" outlineLevel="0" collapsed="false">
      <c r="B20" s="25"/>
      <c r="C20" s="26"/>
      <c r="D20" s="26"/>
      <c r="E20" s="26"/>
      <c r="F20" s="26"/>
      <c r="G20" s="26"/>
      <c r="H20" s="26"/>
    </row>
  </sheetData>
  <mergeCells count="2">
    <mergeCell ref="B2:H2"/>
    <mergeCell ref="B3:H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6"/>
  </cols>
  <sheetData>
    <row r="2" customFormat="false" ht="30" hidden="false" customHeight="true" outlineLevel="0" collapsed="false">
      <c r="B2" s="29" t="s">
        <v>178</v>
      </c>
      <c r="C2" s="29"/>
      <c r="D2" s="29"/>
      <c r="E2" s="29"/>
      <c r="F2" s="29"/>
      <c r="G2" s="29"/>
      <c r="H2" s="29"/>
      <c r="I2" s="29"/>
      <c r="J2" s="29"/>
    </row>
    <row r="3" customFormat="false" ht="15.75" hidden="false" customHeight="true" outlineLevel="0" collapsed="false">
      <c r="B3" s="30" t="s">
        <v>179</v>
      </c>
      <c r="C3" s="30"/>
      <c r="D3" s="30"/>
      <c r="E3" s="30"/>
      <c r="F3" s="30"/>
      <c r="G3" s="30"/>
      <c r="H3" s="30"/>
      <c r="I3" s="30"/>
      <c r="J3" s="30"/>
    </row>
    <row r="5" customFormat="false" ht="25.5" hidden="false" customHeight="true" outlineLevel="0" collapsed="false">
      <c r="B5" s="24" t="s">
        <v>180</v>
      </c>
      <c r="C5" s="24" t="s">
        <v>181</v>
      </c>
      <c r="D5" s="24" t="s">
        <v>182</v>
      </c>
      <c r="E5" s="24" t="s">
        <v>183</v>
      </c>
      <c r="F5" s="24" t="s">
        <v>184</v>
      </c>
      <c r="G5" s="24" t="s">
        <v>185</v>
      </c>
      <c r="H5" s="24" t="s">
        <v>175</v>
      </c>
      <c r="I5" s="24" t="s">
        <v>186</v>
      </c>
      <c r="J5" s="24" t="s">
        <v>187</v>
      </c>
    </row>
    <row r="6" customFormat="false" ht="21.75" hidden="false" customHeight="true" outlineLevel="0" collapsed="false">
      <c r="B6" s="31" t="s">
        <v>188</v>
      </c>
      <c r="C6" s="32" t="n">
        <v>82</v>
      </c>
      <c r="D6" s="32" t="n">
        <v>92</v>
      </c>
      <c r="E6" s="33" t="n">
        <v>95</v>
      </c>
      <c r="F6" s="33" t="n">
        <v>85</v>
      </c>
      <c r="G6" s="33" t="n">
        <v>70</v>
      </c>
      <c r="H6" s="34" t="str">
        <f aca="false">IF(C6&gt;=D6,"● On Target",IF(C6&gt;=F6,"● Near","● Off Target"))</f>
        <v>● Off Target</v>
      </c>
      <c r="I6" s="35" t="s">
        <v>189</v>
      </c>
      <c r="J6" s="36" t="s">
        <v>190</v>
      </c>
    </row>
    <row r="7" customFormat="false" ht="21.75" hidden="false" customHeight="true" outlineLevel="0" collapsed="false">
      <c r="B7" s="31" t="s">
        <v>191</v>
      </c>
      <c r="C7" s="37" t="n">
        <v>42</v>
      </c>
      <c r="D7" s="37" t="n">
        <v>30</v>
      </c>
      <c r="E7" s="38" t="n">
        <v>28</v>
      </c>
      <c r="F7" s="38" t="n">
        <v>38</v>
      </c>
      <c r="G7" s="38" t="n">
        <v>52</v>
      </c>
      <c r="H7" s="34" t="str">
        <f aca="false">IF(C7&lt;=D7,"● On Target",IF(C7&lt;=F7,"● Near","● Off Target"))</f>
        <v>● Off Target</v>
      </c>
      <c r="I7" s="35" t="s">
        <v>189</v>
      </c>
      <c r="J7" s="36" t="s">
        <v>192</v>
      </c>
    </row>
    <row r="8" customFormat="false" ht="21.75" hidden="false" customHeight="true" outlineLevel="0" collapsed="false">
      <c r="B8" s="31" t="s">
        <v>193</v>
      </c>
      <c r="C8" s="37" t="n">
        <v>18</v>
      </c>
      <c r="D8" s="37" t="n">
        <v>8</v>
      </c>
      <c r="E8" s="38" t="n">
        <v>3</v>
      </c>
      <c r="F8" s="38" t="n">
        <v>10</v>
      </c>
      <c r="G8" s="38" t="n">
        <v>22</v>
      </c>
      <c r="H8" s="34" t="str">
        <f aca="false">IF(C8&lt;=D8,"● On Target",IF(C8&lt;=F8,"● Near","● Off Target"))</f>
        <v>● Off Target</v>
      </c>
      <c r="I8" s="35" t="s">
        <v>189</v>
      </c>
      <c r="J8" s="36" t="s">
        <v>194</v>
      </c>
    </row>
    <row r="9" customFormat="false" ht="21.75" hidden="false" customHeight="true" outlineLevel="0" collapsed="false">
      <c r="B9" s="31" t="s">
        <v>195</v>
      </c>
      <c r="C9" s="32" t="n">
        <v>72</v>
      </c>
      <c r="D9" s="32" t="n">
        <v>88</v>
      </c>
      <c r="E9" s="33" t="n">
        <v>95</v>
      </c>
      <c r="F9" s="33" t="n">
        <v>80</v>
      </c>
      <c r="G9" s="33" t="n">
        <v>55</v>
      </c>
      <c r="H9" s="34" t="str">
        <f aca="false">IF(C9&gt;=D9,"● On Target",IF(C9&gt;=F9,"● Near","● Off Target"))</f>
        <v>● Off Target</v>
      </c>
      <c r="I9" s="35" t="s">
        <v>196</v>
      </c>
      <c r="J9" s="36" t="s">
        <v>197</v>
      </c>
    </row>
    <row r="10" customFormat="false" ht="21.75" hidden="false" customHeight="true" outlineLevel="0" collapsed="false">
      <c r="B10" s="31" t="s">
        <v>198</v>
      </c>
      <c r="C10" s="32" t="n">
        <v>55</v>
      </c>
      <c r="D10" s="32" t="n">
        <v>70</v>
      </c>
      <c r="E10" s="33" t="n">
        <v>85</v>
      </c>
      <c r="F10" s="33" t="n">
        <v>60</v>
      </c>
      <c r="G10" s="33" t="n">
        <v>40</v>
      </c>
      <c r="H10" s="34" t="str">
        <f aca="false">IF(C10&gt;=D10,"● On Target",IF(C10&gt;=F10,"● Near","● Off Target"))</f>
        <v>● Off Target</v>
      </c>
      <c r="I10" s="35" t="s">
        <v>199</v>
      </c>
      <c r="J10" s="36" t="s">
        <v>200</v>
      </c>
    </row>
    <row r="11" customFormat="false" ht="21.75" hidden="false" customHeight="true" outlineLevel="0" collapsed="false">
      <c r="B11" s="31" t="s">
        <v>201</v>
      </c>
      <c r="C11" s="32" t="n">
        <v>65</v>
      </c>
      <c r="D11" s="32" t="n">
        <v>80</v>
      </c>
      <c r="E11" s="33" t="n">
        <v>90</v>
      </c>
      <c r="F11" s="33" t="n">
        <v>72</v>
      </c>
      <c r="G11" s="33" t="n">
        <v>50</v>
      </c>
      <c r="H11" s="34" t="str">
        <f aca="false">IF(C11&gt;=D11,"● On Target",IF(C11&gt;=F11,"● Near","● Off Target"))</f>
        <v>● Off Target</v>
      </c>
      <c r="I11" s="35" t="s">
        <v>199</v>
      </c>
      <c r="J11" s="36" t="s">
        <v>202</v>
      </c>
    </row>
    <row r="12" customFormat="false" ht="21.75" hidden="false" customHeight="true" outlineLevel="0" collapsed="false">
      <c r="B12" s="31" t="s">
        <v>203</v>
      </c>
      <c r="C12" s="32" t="n">
        <v>85</v>
      </c>
      <c r="D12" s="32" t="n">
        <v>93</v>
      </c>
      <c r="E12" s="33" t="n">
        <v>96</v>
      </c>
      <c r="F12" s="33" t="n">
        <v>88</v>
      </c>
      <c r="G12" s="33" t="n">
        <v>72</v>
      </c>
      <c r="H12" s="34" t="str">
        <f aca="false">IF(C12&gt;=D12,"● On Target",IF(C12&gt;=F12,"● Near","● Off Target"))</f>
        <v>● Off Target</v>
      </c>
      <c r="I12" s="35" t="s">
        <v>189</v>
      </c>
      <c r="J12" s="36" t="s">
        <v>204</v>
      </c>
    </row>
    <row r="13" customFormat="false" ht="21.75" hidden="false" customHeight="true" outlineLevel="0" collapsed="false">
      <c r="B13" s="31" t="s">
        <v>205</v>
      </c>
      <c r="C13" s="32" t="n">
        <v>60</v>
      </c>
      <c r="D13" s="32" t="n">
        <v>85</v>
      </c>
      <c r="E13" s="33" t="n">
        <v>95</v>
      </c>
      <c r="F13" s="33" t="n">
        <v>70</v>
      </c>
      <c r="G13" s="33" t="n">
        <v>40</v>
      </c>
      <c r="H13" s="34" t="str">
        <f aca="false">IF(C13&gt;=D13,"● On Target",IF(C13&gt;=F13,"● Near","● Off Target"))</f>
        <v>● Off Target</v>
      </c>
      <c r="I13" s="35" t="s">
        <v>206</v>
      </c>
      <c r="J13" s="36" t="s">
        <v>207</v>
      </c>
    </row>
    <row r="14" customFormat="false" ht="21.75" hidden="false" customHeight="true" outlineLevel="0" collapsed="false">
      <c r="B14" s="31" t="s">
        <v>208</v>
      </c>
      <c r="C14" s="32" t="n">
        <v>8</v>
      </c>
      <c r="D14" s="32" t="n">
        <v>3</v>
      </c>
      <c r="E14" s="33" t="n">
        <v>1</v>
      </c>
      <c r="F14" s="33" t="n">
        <v>5</v>
      </c>
      <c r="G14" s="33" t="n">
        <v>15</v>
      </c>
      <c r="H14" s="34" t="str">
        <f aca="false">IF(C14&lt;=D14,"● On Target",IF(C14&lt;=F14,"● Near","● Off Target"))</f>
        <v>● Off Target</v>
      </c>
      <c r="I14" s="35" t="s">
        <v>196</v>
      </c>
      <c r="J14" s="36" t="s">
        <v>209</v>
      </c>
    </row>
    <row r="15" customFormat="false" ht="21.75" hidden="false" customHeight="true" outlineLevel="0" collapsed="false">
      <c r="B15" s="31" t="s">
        <v>210</v>
      </c>
      <c r="C15" s="39" t="n">
        <v>4.5</v>
      </c>
      <c r="D15" s="39" t="n">
        <v>2.5</v>
      </c>
      <c r="E15" s="40" t="n">
        <v>1.5</v>
      </c>
      <c r="F15" s="40" t="n">
        <v>3.5</v>
      </c>
      <c r="G15" s="40" t="n">
        <v>8</v>
      </c>
      <c r="H15" s="34" t="str">
        <f aca="false">IF(C15&lt;=D15,"● On Target",IF(C15&lt;=F15,"● Near","● Off Target"))</f>
        <v>● Off Target</v>
      </c>
      <c r="I15" s="35" t="s">
        <v>211</v>
      </c>
      <c r="J15" s="36" t="s">
        <v>212</v>
      </c>
    </row>
    <row r="17" customFormat="false" ht="15" hidden="false" customHeight="false" outlineLevel="0" collapsed="false">
      <c r="B17" s="41" t="s">
        <v>213</v>
      </c>
    </row>
  </sheetData>
  <mergeCells count="2">
    <mergeCell ref="B2:J2"/>
    <mergeCell ref="B3:J3"/>
  </mergeCells>
  <conditionalFormatting sqref="H6:H15">
    <cfRule type="expression" priority="2" aboveAverage="0" equalAverage="0" bottom="0" percent="0" rank="0" text="" dxfId="0">
      <formula>ISNUMBER(SEARCH("On Target",H6))</formula>
    </cfRule>
    <cfRule type="expression" priority="3" aboveAverage="0" equalAverage="0" bottom="0" percent="0" rank="0" text="" dxfId="1">
      <formula>ISNUMBER(SEARCH("Near",H6))</formula>
    </cfRule>
    <cfRule type="expression" priority="4" aboveAverage="0" equalAverage="0" bottom="0" percent="0" rank="0" text="" dxfId="2">
      <formula>ISNUMBER(SEARCH("Off Target",H6))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5" min="3" style="0" width="12"/>
    <col collapsed="false" customWidth="true" hidden="false" outlineLevel="0" max="6" min="6" style="0" width="15"/>
  </cols>
  <sheetData>
    <row r="2" customFormat="false" ht="30" hidden="false" customHeight="true" outlineLevel="0" collapsed="false">
      <c r="B2" s="17" t="s">
        <v>214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215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216</v>
      </c>
      <c r="C5" s="24" t="s">
        <v>183</v>
      </c>
      <c r="D5" s="24" t="s">
        <v>184</v>
      </c>
      <c r="E5" s="24" t="s">
        <v>185</v>
      </c>
      <c r="F5" s="24" t="s">
        <v>217</v>
      </c>
    </row>
    <row r="6" customFormat="false" ht="27.75" hidden="false" customHeight="true" outlineLevel="0" collapsed="false">
      <c r="B6" s="25" t="s">
        <v>188</v>
      </c>
      <c r="C6" s="26" t="n">
        <v>95</v>
      </c>
      <c r="D6" s="26" t="n">
        <v>85</v>
      </c>
      <c r="E6" s="26" t="n">
        <v>70</v>
      </c>
      <c r="F6" s="26" t="s">
        <v>218</v>
      </c>
    </row>
    <row r="7" customFormat="false" ht="27.75" hidden="false" customHeight="true" outlineLevel="0" collapsed="false">
      <c r="B7" s="27" t="s">
        <v>191</v>
      </c>
      <c r="C7" s="28" t="n">
        <v>28</v>
      </c>
      <c r="D7" s="28" t="n">
        <v>38</v>
      </c>
      <c r="E7" s="28" t="n">
        <v>52</v>
      </c>
      <c r="F7" s="28" t="s">
        <v>219</v>
      </c>
    </row>
    <row r="8" customFormat="false" ht="27.75" hidden="false" customHeight="true" outlineLevel="0" collapsed="false">
      <c r="B8" s="25" t="s">
        <v>193</v>
      </c>
      <c r="C8" s="26" t="n">
        <v>3</v>
      </c>
      <c r="D8" s="26" t="n">
        <v>10</v>
      </c>
      <c r="E8" s="26" t="n">
        <v>22</v>
      </c>
      <c r="F8" s="26" t="s">
        <v>218</v>
      </c>
    </row>
    <row r="9" customFormat="false" ht="27.75" hidden="false" customHeight="true" outlineLevel="0" collapsed="false">
      <c r="B9" s="27" t="s">
        <v>220</v>
      </c>
      <c r="C9" s="28" t="n">
        <v>95</v>
      </c>
      <c r="D9" s="28" t="n">
        <v>80</v>
      </c>
      <c r="E9" s="28" t="n">
        <v>55</v>
      </c>
      <c r="F9" s="28" t="s">
        <v>219</v>
      </c>
    </row>
    <row r="10" customFormat="false" ht="27.75" hidden="false" customHeight="true" outlineLevel="0" collapsed="false">
      <c r="B10" s="25" t="s">
        <v>221</v>
      </c>
      <c r="C10" s="26" t="n">
        <v>85</v>
      </c>
      <c r="D10" s="26" t="n">
        <v>60</v>
      </c>
      <c r="E10" s="26" t="n">
        <v>40</v>
      </c>
      <c r="F10" s="26" t="s">
        <v>218</v>
      </c>
    </row>
    <row r="11" customFormat="false" ht="27.75" hidden="false" customHeight="true" outlineLevel="0" collapsed="false">
      <c r="B11" s="27" t="s">
        <v>205</v>
      </c>
      <c r="C11" s="28" t="n">
        <v>95</v>
      </c>
      <c r="D11" s="28" t="n">
        <v>70</v>
      </c>
      <c r="E11" s="28" t="n">
        <v>40</v>
      </c>
      <c r="F11" s="28" t="s">
        <v>219</v>
      </c>
    </row>
    <row r="12" customFormat="false" ht="27.75" hidden="false" customHeight="true" outlineLevel="0" collapsed="false">
      <c r="B12" s="25" t="s">
        <v>210</v>
      </c>
      <c r="C12" s="26" t="n">
        <v>1.5</v>
      </c>
      <c r="D12" s="26" t="n">
        <v>3.5</v>
      </c>
      <c r="E12" s="26" t="n">
        <v>8</v>
      </c>
      <c r="F12" s="26" t="s">
        <v>219</v>
      </c>
    </row>
    <row r="13" customFormat="false" ht="27.75" hidden="false" customHeight="true" outlineLevel="0" collapsed="false">
      <c r="B13" s="27" t="s">
        <v>222</v>
      </c>
      <c r="C13" s="28" t="n">
        <v>250</v>
      </c>
      <c r="D13" s="28" t="n">
        <v>120</v>
      </c>
      <c r="E13" s="28" t="n">
        <v>50</v>
      </c>
      <c r="F13" s="28" t="s">
        <v>218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90</v>
      </c>
      <c r="B1" s="0" t="s">
        <v>223</v>
      </c>
      <c r="C1" s="0" t="s">
        <v>224</v>
      </c>
      <c r="D1" s="0" t="s">
        <v>225</v>
      </c>
      <c r="E1" s="0" t="s">
        <v>226</v>
      </c>
    </row>
    <row r="2" customFormat="false" ht="15" hidden="false" customHeight="false" outlineLevel="0" collapsed="false">
      <c r="A2" s="0" t="s">
        <v>227</v>
      </c>
      <c r="B2" s="0" t="s">
        <v>228</v>
      </c>
      <c r="C2" s="0" t="s">
        <v>229</v>
      </c>
      <c r="D2" s="0" t="s">
        <v>230</v>
      </c>
      <c r="E2" s="0" t="s">
        <v>231</v>
      </c>
    </row>
    <row r="3" customFormat="false" ht="15" hidden="false" customHeight="false" outlineLevel="0" collapsed="false">
      <c r="A3" s="0" t="s">
        <v>232</v>
      </c>
      <c r="B3" s="0" t="s">
        <v>233</v>
      </c>
      <c r="C3" s="0" t="s">
        <v>234</v>
      </c>
      <c r="D3" s="0" t="s">
        <v>235</v>
      </c>
      <c r="E3" s="0" t="s">
        <v>236</v>
      </c>
    </row>
    <row r="4" customFormat="false" ht="15" hidden="false" customHeight="false" outlineLevel="0" collapsed="false">
      <c r="A4" s="0" t="s">
        <v>237</v>
      </c>
      <c r="B4" s="0" t="s">
        <v>238</v>
      </c>
      <c r="C4" s="0" t="s">
        <v>239</v>
      </c>
      <c r="D4" s="0" t="s">
        <v>240</v>
      </c>
      <c r="E4" s="0" t="s">
        <v>241</v>
      </c>
    </row>
    <row r="5" customFormat="false" ht="15" hidden="false" customHeight="false" outlineLevel="0" collapsed="false">
      <c r="A5" s="0" t="s">
        <v>242</v>
      </c>
      <c r="B5" s="0" t="s">
        <v>243</v>
      </c>
      <c r="C5" s="0" t="s">
        <v>244</v>
      </c>
      <c r="E5" s="0" t="s">
        <v>245</v>
      </c>
    </row>
    <row r="6" customFormat="false" ht="15" hidden="false" customHeight="false" outlineLevel="0" collapsed="false">
      <c r="A6" s="0" t="s">
        <v>246</v>
      </c>
      <c r="B6" s="0" t="s">
        <v>247</v>
      </c>
      <c r="C6" s="0" t="s">
        <v>248</v>
      </c>
      <c r="E6" s="0" t="s">
        <v>249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2026-05-26T06:45:01Z</dcterms:created>
  <dc:creator>openpyxl</dc:creator>
  <dc:description/>
  <dc:language>en-US</dc:language>
  <cp:lastModifiedBy/>
  <dcterms:modified xsi:type="dcterms:W3CDTF">2026-05-26T06:45:02Z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