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0"/>
  </bookViews>
  <sheets>
    <sheet name="Cover" sheetId="1" state="visible" r:id="rId3"/>
    <sheet name="Instructions" sheetId="2" state="visible" r:id="rId4"/>
    <sheet name="Project Setup" sheetId="3" state="visible" r:id="rId5"/>
    <sheet name="Cost Model" sheetId="4" state="visible" r:id="rId6"/>
    <sheet name="Benefits" sheetId="5" state="visible" r:id="rId7"/>
    <sheet name="Scenarios" sheetId="6" state="visible" r:id="rId8"/>
    <sheet name="Financials" sheetId="7" state="visible" r:id="rId9"/>
    <sheet name="Executive Summary" sheetId="8" state="visible" r:id="rId10"/>
    <sheet name="Benchmarks" sheetId="9" state="visible" r:id="rId11"/>
    <sheet name="Risk Register" sheetId="10" state="visible" r:id="rId12"/>
    <sheet name="Example Data" sheetId="11" state="visible" r:id="rId13"/>
    <sheet name="Calculations" sheetId="12" state="hidden" r:id="rId14"/>
    <sheet name="Dropdowns" sheetId="13" state="hidden" r:id="rId15"/>
  </sheets>
  <definedNames>
    <definedName function="false" hidden="false" localSheetId="0" name="_xlnm.Print_Area" vbProcedure="false">Cover!$A$1:$L$40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<sst xmlns="http://schemas.openxmlformats.org/spreadsheetml/2006/main" count="398" uniqueCount="321">
  <si>
    <t xml:space="preserve">ClearLedger Advisory</t>
  </si>
  <si>
    <t xml:space="preserve">OtC Transformation</t>
  </si>
  <si>
    <t xml:space="preserve">Business Case Builder</t>
  </si>
  <si>
    <t xml:space="preserve">Toolkit 3.5 — Strategic Value Series</t>
  </si>
  <si>
    <t xml:space="preserve">ROI Calculator · Benefit Quantification · Scenario Analysis · NPV/IRR/Payback</t>
  </si>
  <si>
    <t xml:space="preserve">Prepared for:</t>
  </si>
  <si>
    <t xml:space="preserve">Prepared by:</t>
  </si>
  <si>
    <t xml:space="preserve">[Client Name]</t>
  </si>
  <si>
    <t xml:space="preserve">[Consultant Name]</t>
  </si>
  <si>
    <t xml:space="preserve">Date:</t>
  </si>
  <si>
    <t xml:space="preserve">Version:</t>
  </si>
  <si>
    <t xml:space="preserve">[Date]</t>
  </si>
  <si>
    <t xml:space="preserve">This workbook provides a structured framework for building a financial business case for Order-to-Cash process transformation. It quantifies costs, benefits, and risks across three scenarios to support investment decisions. All blue-text cells are editable inputs. Formulas auto-calculate all financial metrics.</t>
  </si>
  <si>
    <t xml:space="preserve">CONTENTS</t>
  </si>
  <si>
    <t xml:space="preserve">Instructions</t>
  </si>
  <si>
    <t xml:space="preserve">How to use this workbook</t>
  </si>
  <si>
    <t xml:space="preserve">Project Setup</t>
  </si>
  <si>
    <t xml:space="preserve">Initiative scope, current-state metrics, timeline</t>
  </si>
  <si>
    <t xml:space="preserve">Cost Model</t>
  </si>
  <si>
    <t xml:space="preserve">6-category investment breakdown (one-time + recurring)</t>
  </si>
  <si>
    <t xml:space="preserve">Benefits</t>
  </si>
  <si>
    <t xml:space="preserve">6 benefit categories with DSO→working capital conversion</t>
  </si>
  <si>
    <t xml:space="preserve">Scenarios</t>
  </si>
  <si>
    <t xml:space="preserve">Conservative / Base / Optimistic sensitivity analysis</t>
  </si>
  <si>
    <t xml:space="preserve">Financials</t>
  </si>
  <si>
    <t xml:space="preserve">NPV, IRR, Payback, 5-year cashflow projection</t>
  </si>
  <si>
    <t xml:space="preserve">Executive Summary</t>
  </si>
  <si>
    <t xml:space="preserve">Auto-generated recommendation with key metrics</t>
  </si>
  <si>
    <t xml:space="preserve">Benchmarks</t>
  </si>
  <si>
    <t xml:space="preserve">APQC / Hackett OtC performance benchmarks</t>
  </si>
  <si>
    <t xml:space="preserve">Risk Register</t>
  </si>
  <si>
    <t xml:space="preserve">Risk identification, scoring, and mitigation</t>
  </si>
  <si>
    <t xml:space="preserve">ClearLedger Advisory · Toolkit 3.5 · APQC PCF v7.4: 8.0 Manage Financial Resources</t>
  </si>
  <si>
    <t xml:space="preserve">INSTRUCTIONS</t>
  </si>
  <si>
    <t xml:space="preserve">Step 1</t>
  </si>
  <si>
    <t xml:space="preserve">Fill in your initiative details: project name, scope, timeline, and current-state AR metrics (revenue, AR balance, DSO, invoice volume, FTE count). All blue-text cells are editable.</t>
  </si>
  <si>
    <t xml:space="preserve">Step 2</t>
  </si>
  <si>
    <t xml:space="preserve">Enter one-time and annual recurring costs across 6 categories: Software, Implementation, Internal Labor, Change Management, Infrastructure, and Contingency. Totals auto-calculate.</t>
  </si>
  <si>
    <t xml:space="preserve">Step 3</t>
  </si>
  <si>
    <t xml:space="preserve">Quantify annual run-rate benefits across 6 categories. For DSO improvement, enter the number of days reduction — the model auto-converts this to working capital release using your revenue figure.</t>
  </si>
  <si>
    <t xml:space="preserve">Step 4</t>
  </si>
  <si>
    <t xml:space="preserve">Review and adjust the three scenario assumptions (Conservative = 70% benefits / 120% costs, Base = 100%/100%, Optimistic = 130%/90%). Adjust percentages to match your confidence levels.</t>
  </si>
  <si>
    <t xml:space="preserve">Step 5</t>
  </si>
  <si>
    <t xml:space="preserve">Add project risks with probability and impact scores. The weighted risk score feeds into the executive summary.</t>
  </si>
  <si>
    <t xml:space="preserve">Step 6</t>
  </si>
  <si>
    <t xml:space="preserve">Review</t>
  </si>
  <si>
    <t xml:space="preserve">Check the Financials tab for NPV, IRR, Payback, and ROI across all scenarios. The Executive Summary tab auto-generates a recommendation based on your inputs.</t>
  </si>
  <si>
    <t xml:space="preserve">COLOR CODING</t>
  </si>
  <si>
    <t xml:space="preserve">Blue text</t>
  </si>
  <si>
    <t xml:space="preserve">Editable inputs — your data goes here</t>
  </si>
  <si>
    <t xml:space="preserve">Black text</t>
  </si>
  <si>
    <t xml:space="preserve">Formulas and calculations (do not edit)</t>
  </si>
  <si>
    <t xml:space="preserve">Green highlight</t>
  </si>
  <si>
    <t xml:space="preserve">Positive results, favorable metrics</t>
  </si>
  <si>
    <t xml:space="preserve">Red highlight</t>
  </si>
  <si>
    <t xml:space="preserve">Negative results, areas of concern</t>
  </si>
  <si>
    <t xml:space="preserve">Amber highlight</t>
  </si>
  <si>
    <t xml:space="preserve">Caution, review recommended</t>
  </si>
  <si>
    <t xml:space="preserve">CROSS-REFERENCES</t>
  </si>
  <si>
    <t xml:space="preserve">1.5 KPI Dashboard</t>
  </si>
  <si>
    <t xml:space="preserve">DSO, CEI, and AR KPI definitions</t>
  </si>
  <si>
    <t xml:space="preserve">1.6 Maturity Assessment</t>
  </si>
  <si>
    <t xml:space="preserve">Tier classification for benefit sizing</t>
  </si>
  <si>
    <t xml:space="preserve">2.1 Credit Management</t>
  </si>
  <si>
    <t xml:space="preserve">Bad debt reduction benefit inputs</t>
  </si>
  <si>
    <t xml:space="preserve">2.2 Dispute Resolution</t>
  </si>
  <si>
    <t xml:space="preserve">Dispute cost reduction inputs</t>
  </si>
  <si>
    <t xml:space="preserve">2.3 Billing &amp; Invoicing</t>
  </si>
  <si>
    <t xml:space="preserve">Invoice processing cost benchmarks</t>
  </si>
  <si>
    <t xml:space="preserve">2.5 Process Mining</t>
  </si>
  <si>
    <t xml:space="preserve">Process efficiency gain estimates</t>
  </si>
  <si>
    <t xml:space="preserve">3.3 Treasury &amp; WC</t>
  </si>
  <si>
    <t xml:space="preserve">Working capital release calculations</t>
  </si>
  <si>
    <t xml:space="preserve">3.4 Tech Selection</t>
  </si>
  <si>
    <t xml:space="preserve">Software and implementation cost inputs</t>
  </si>
  <si>
    <t xml:space="preserve">PROJECT SETUP</t>
  </si>
  <si>
    <t xml:space="preserve">◆  Initiative Details</t>
  </si>
  <si>
    <t xml:space="preserve">Project Name</t>
  </si>
  <si>
    <t xml:space="preserve">e.g. OtC Automation Program</t>
  </si>
  <si>
    <t xml:space="preserve">Executive Sponsor</t>
  </si>
  <si>
    <t xml:space="preserve">e.g. CFO / VP Finance</t>
  </si>
  <si>
    <t xml:space="preserve">Scope</t>
  </si>
  <si>
    <t xml:space="preserve">Full OtC Transformation</t>
  </si>
  <si>
    <t xml:space="preserve">Select from dropdown</t>
  </si>
  <si>
    <t xml:space="preserve">Industry</t>
  </si>
  <si>
    <t xml:space="preserve">Manufacturing</t>
  </si>
  <si>
    <t xml:space="preserve">Region</t>
  </si>
  <si>
    <t xml:space="preserve">Europe</t>
  </si>
  <si>
    <t xml:space="preserve">Implementation Timeline</t>
  </si>
  <si>
    <t xml:space="preserve">months</t>
  </si>
  <si>
    <t xml:space="preserve">Discount Rate (WACC)</t>
  </si>
  <si>
    <t xml:space="preserve">Used for NPV calculation</t>
  </si>
  <si>
    <t xml:space="preserve">◎  Current-State Metrics</t>
  </si>
  <si>
    <t xml:space="preserve">Annual Revenue (€)</t>
  </si>
  <si>
    <t xml:space="preserve">Total revenue within OtC scope</t>
  </si>
  <si>
    <t xml:space="preserve">Accounts Receivable Balance (€)</t>
  </si>
  <si>
    <t xml:space="preserve">Current AR balance</t>
  </si>
  <si>
    <t xml:space="preserve">Current DSO</t>
  </si>
  <si>
    <t xml:space="preserve">Days Sales Outstanding</t>
  </si>
  <si>
    <t xml:space="preserve">Monthly Invoice Volume</t>
  </si>
  <si>
    <t xml:space="preserve">Invoices processed per month</t>
  </si>
  <si>
    <t xml:space="preserve">AR FTE Count</t>
  </si>
  <si>
    <t xml:space="preserve">Full-time equivalents in AR/Collections</t>
  </si>
  <si>
    <t xml:space="preserve">Avg Fully-Loaded FTE Cost (€/yr)</t>
  </si>
  <si>
    <t xml:space="preserve">Including benefits, overhead</t>
  </si>
  <si>
    <t xml:space="preserve">◎  DSO Benchmark Position</t>
  </si>
  <si>
    <t xml:space="preserve">Your DSO</t>
  </si>
  <si>
    <t xml:space="preserve">Top Quartile</t>
  </si>
  <si>
    <t xml:space="preserve">Median</t>
  </si>
  <si>
    <t xml:space="preserve">Bottom Quartile</t>
  </si>
  <si>
    <t xml:space="preserve">Source: Hackett Group 2024</t>
  </si>
  <si>
    <t xml:space="preserve">COST MODEL — Investment Breakdown</t>
  </si>
  <si>
    <t xml:space="preserve">Category</t>
  </si>
  <si>
    <t xml:space="preserve">Description</t>
  </si>
  <si>
    <t xml:space="preserve">One-Time (€)</t>
  </si>
  <si>
    <t xml:space="preserve">Annual (€)</t>
  </si>
  <si>
    <t xml:space="preserve">5-Year Total (€)</t>
  </si>
  <si>
    <t xml:space="preserve">Software / Licensing</t>
  </si>
  <si>
    <t xml:space="preserve">ERP modules, automation tools, middleware</t>
  </si>
  <si>
    <t xml:space="preserve">Implementation Services</t>
  </si>
  <si>
    <t xml:space="preserve">SI fees, configuration, data migration</t>
  </si>
  <si>
    <t xml:space="preserve">Internal Labor</t>
  </si>
  <si>
    <t xml:space="preserve">Project team, SMEs, testing resources</t>
  </si>
  <si>
    <t xml:space="preserve">Change Management</t>
  </si>
  <si>
    <t xml:space="preserve">Training, communications, adoption support</t>
  </si>
  <si>
    <t xml:space="preserve">Infrastructure</t>
  </si>
  <si>
    <t xml:space="preserve">Cloud hosting, integrations, security</t>
  </si>
  <si>
    <t xml:space="preserve">Contingency</t>
  </si>
  <si>
    <t xml:space="preserve">Risk buffer (typically 10-20% of total)</t>
  </si>
  <si>
    <t xml:space="preserve">TOTAL INVESTMENT</t>
  </si>
  <si>
    <t xml:space="preserve">Cost Distribution</t>
  </si>
  <si>
    <t xml:space="preserve">BENEFITS — Quantified Annual Value</t>
  </si>
  <si>
    <t xml:space="preserve">Benefit Category</t>
  </si>
  <si>
    <t xml:space="preserve">Annual Value (€)</t>
  </si>
  <si>
    <t xml:space="preserve">Ramp (months)</t>
  </si>
  <si>
    <t xml:space="preserve">Unit</t>
  </si>
  <si>
    <t xml:space="preserve">FTE Efficiency Gains</t>
  </si>
  <si>
    <t xml:space="preserve">Headcount reduction or redeployment</t>
  </si>
  <si>
    <t xml:space="preserve">€/yr</t>
  </si>
  <si>
    <t xml:space="preserve">DSO Improvement</t>
  </si>
  <si>
    <t xml:space="preserve">Working capital release (enter days reduction)</t>
  </si>
  <si>
    <t xml:space="preserve">days</t>
  </si>
  <si>
    <t xml:space="preserve">Error Reduction</t>
  </si>
  <si>
    <t xml:space="preserve">Fewer misapplied payments, duplicate invoices</t>
  </si>
  <si>
    <t xml:space="preserve">Dispute Resolution</t>
  </si>
  <si>
    <t xml:space="preserve">Faster resolution, reduced write-offs</t>
  </si>
  <si>
    <t xml:space="preserve">Compliance &amp; Audit</t>
  </si>
  <si>
    <t xml:space="preserve">Reduced audit prep, SOX compliance savings</t>
  </si>
  <si>
    <t xml:space="preserve">Revenue Protection</t>
  </si>
  <si>
    <t xml:space="preserve">Reduced leakage, better credit decisions</t>
  </si>
  <si>
    <t xml:space="preserve">▲  DSO → Working Capital Impact</t>
  </si>
  <si>
    <t xml:space="preserve">DSO days entered</t>
  </si>
  <si>
    <t xml:space="preserve">Annual Revenue (from Setup)</t>
  </si>
  <si>
    <t xml:space="preserve">Working Capital Release (€/yr)</t>
  </si>
  <si>
    <t xml:space="preserve">Formula: DSO reduction × Revenue ÷ 365</t>
  </si>
  <si>
    <t xml:space="preserve">TOTAL ANNUAL BENEFIT</t>
  </si>
  <si>
    <t xml:space="preserve">Benefit Breakdown</t>
  </si>
  <si>
    <t xml:space="preserve">FTE Efficiency</t>
  </si>
  <si>
    <t xml:space="preserve">DSO / WC Release</t>
  </si>
  <si>
    <t xml:space="preserve">SCENARIO ANALYSIS</t>
  </si>
  <si>
    <t xml:space="preserve">Parameter</t>
  </si>
  <si>
    <t xml:space="preserve">Conservative</t>
  </si>
  <si>
    <t xml:space="preserve">Base Case</t>
  </si>
  <si>
    <t xml:space="preserve">Optimistic</t>
  </si>
  <si>
    <t xml:space="preserve">Benefit Realization %</t>
  </si>
  <si>
    <t xml:space="preserve">Cost Variance %</t>
  </si>
  <si>
    <t xml:space="preserve">Adjusted Annual Benefit (€)</t>
  </si>
  <si>
    <t xml:space="preserve">Adjusted One-Time Cost (€)</t>
  </si>
  <si>
    <t xml:space="preserve">Adjusted Annual Cost (€)</t>
  </si>
  <si>
    <t xml:space="preserve">◈  Scenario Outputs</t>
  </si>
  <si>
    <t xml:space="preserve">Net Annual Cashflow (steady-state)</t>
  </si>
  <si>
    <t xml:space="preserve">5-Year Total Benefits</t>
  </si>
  <si>
    <t xml:space="preserve">5-Year Total Costs</t>
  </si>
  <si>
    <t xml:space="preserve">5-Year Net Value</t>
  </si>
  <si>
    <t xml:space="preserve">Simple Payback (years)</t>
  </si>
  <si>
    <t xml:space="preserve">5-Year ROI</t>
  </si>
  <si>
    <t xml:space="preserve">FINANCIAL ANALYSIS — Base Case</t>
  </si>
  <si>
    <t xml:space="preserve">◉  Key Investment Metrics</t>
  </si>
  <si>
    <t xml:space="preserve">NPV (5-Year)</t>
  </si>
  <si>
    <t xml:space="preserve">IRR</t>
  </si>
  <si>
    <t xml:space="preserve">Payback Period</t>
  </si>
  <si>
    <t xml:space="preserve">◉  5-Year Cashflow Projection — Base Case</t>
  </si>
  <si>
    <t xml:space="preserve">Year</t>
  </si>
  <si>
    <t xml:space="preserve">Benefits (€)</t>
  </si>
  <si>
    <t xml:space="preserve">Costs (€)</t>
  </si>
  <si>
    <t xml:space="preserve">Net (€)</t>
  </si>
  <si>
    <t xml:space="preserve">Cumulative (€)</t>
  </si>
  <si>
    <t xml:space="preserve">Position</t>
  </si>
  <si>
    <t xml:space="preserve">Year 0 (Implementation)</t>
  </si>
  <si>
    <t xml:space="preserve">—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</si>
  <si>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</si>
  <si>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</si>
  <si>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</si>
  <si>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</si>
  <si>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</si>
  <si>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◈  Scenario Comparison</t>
  </si>
  <si>
    <t xml:space="preserve">Metric</t>
  </si>
  <si>
    <t xml:space="preserve">Total Investment (5yr)</t>
  </si>
  <si>
    <t xml:space="preserve">Total Benefits (5yr)</t>
  </si>
  <si>
    <t xml:space="preserve">EXECUTIVE SUMMARY</t>
  </si>
  <si>
    <t xml:space="preserve">NPV</t>
  </si>
  <si>
    <t xml:space="preserve">Payback</t>
  </si>
  <si>
    <t xml:space="preserve">◎  Investment vs. Return</t>
  </si>
  <si>
    <t xml:space="preserve">One-Time Investment</t>
  </si>
  <si>
    <t xml:space="preserve">Annual Recurring Cost</t>
  </si>
  <si>
    <t xml:space="preserve">Annual Benefit (run-rate)</t>
  </si>
  <si>
    <t xml:space="preserve">5-Year Total Investment</t>
  </si>
  <si>
    <t xml:space="preserve">◈  Scenario Range</t>
  </si>
  <si>
    <t xml:space="preserve">NPV Range</t>
  </si>
  <si>
    <t xml:space="preserve">to</t>
  </si>
  <si>
    <t xml:space="preserve">ROI Range</t>
  </si>
  <si>
    <t xml:space="preserve">Weighted Risk Score</t>
  </si>
  <si>
    <t xml:space="preserve">Case Robustness</t>
  </si>
  <si>
    <t xml:space="preserve">ClearLedger Advisory · Toolkit 3.5 · Business Case Builder · APQC PCF v7.4: 8.0</t>
  </si>
  <si>
    <t xml:space="preserve">APQC / HACKETT OtC BENCHMARKS</t>
  </si>
  <si>
    <t xml:space="preserve">Source</t>
  </si>
  <si>
    <t xml:space="preserve">DSO (days)</t>
  </si>
  <si>
    <t xml:space="preserve">Hackett Group 2024</t>
  </si>
  <si>
    <t xml:space="preserve">Collection Effectiveness Index (%)</t>
  </si>
  <si>
    <t xml:space="preserve">APQC PCF v7.4</t>
  </si>
  <si>
    <t xml:space="preserve">Cost per Invoice (€)</t>
  </si>
  <si>
    <t xml:space="preserve">Auto-Match Rate (%)</t>
  </si>
  <si>
    <t xml:space="preserve">Bad Debt Ratio (%)</t>
  </si>
  <si>
    <t xml:space="preserve">Invoice Accuracy Rate (%)</t>
  </si>
  <si>
    <t xml:space="preserve">Dispute Rate (%)</t>
  </si>
  <si>
    <t xml:space="preserve">AR FTE per $1B Revenue</t>
  </si>
  <si>
    <t xml:space="preserve">Electronic Invoice Rate (%)</t>
  </si>
  <si>
    <t xml:space="preserve">Cash Application Auto-Match (%)</t>
  </si>
  <si>
    <t xml:space="preserve">Use these benchmarks to validate benefit assumptions. Your DSO, dispute rate, and cost per invoice from Project Setup should be compared against these quartiles to size improvement opportunities realistically.</t>
  </si>
  <si>
    <t xml:space="preserve">RISK REGISTER</t>
  </si>
  <si>
    <t xml:space="preserve">#</t>
  </si>
  <si>
    <t xml:space="preserve">Risk Description</t>
  </si>
  <si>
    <t xml:space="preserve">Probability</t>
  </si>
  <si>
    <t xml:space="preserve">Impact</t>
  </si>
  <si>
    <t xml:space="preserve">Score</t>
  </si>
  <si>
    <t xml:space="preserve">Mitigation Strategy</t>
  </si>
  <si>
    <t xml:space="preserve">Vendor delivery delays</t>
  </si>
  <si>
    <t xml:space="preserve">Contractual penalties, phased delivery milestones</t>
  </si>
  <si>
    <t xml:space="preserve">User adoption resistance</t>
  </si>
  <si>
    <t xml:space="preserve">Change champions network, iterative training sprints</t>
  </si>
  <si>
    <t xml:space="preserve">Data migration quality issues</t>
  </si>
  <si>
    <t xml:space="preserve">Parallel run period, data quality pre-assessment</t>
  </si>
  <si>
    <t xml:space="preserve">Integration complexity</t>
  </si>
  <si>
    <t xml:space="preserve">API-first architecture, middleware layer, POC</t>
  </si>
  <si>
    <t xml:space="preserve">Scope creep</t>
  </si>
  <si>
    <t xml:space="preserve">Fixed scope with change request process, steering committee</t>
  </si>
  <si>
    <t xml:space="preserve">Key resource departure</t>
  </si>
  <si>
    <t xml:space="preserve">Knowledge transfer protocols, cross-training, documentation</t>
  </si>
  <si>
    <t xml:space="preserve">Budget overrun</t>
  </si>
  <si>
    <t xml:space="preserve">Monthly burn tracking, contingency release gates</t>
  </si>
  <si>
    <t xml:space="preserve">Regulatory change</t>
  </si>
  <si>
    <t xml:space="preserve">Compliance monitoring, modular architecture for updates</t>
  </si>
  <si>
    <t xml:space="preserve">Scoring Guide:</t>
  </si>
  <si>
    <t xml:space="preserve">Low (≤8%)</t>
  </si>
  <si>
    <t xml:space="preserve">Acceptable risk, proceed with monitoring</t>
  </si>
  <si>
    <t xml:space="preserve">Medium (8-15%)</t>
  </si>
  <si>
    <t xml:space="preserve">Active mitigation required, escalate if trending up</t>
  </si>
  <si>
    <t xml:space="preserve">High (&gt;15%)</t>
  </si>
  <si>
    <t xml:space="preserve">Immediate action needed, may affect business case viability</t>
  </si>
  <si>
    <t xml:space="preserve">EXAMPLE DATA — Mid-Market Manufacturer</t>
  </si>
  <si>
    <t xml:space="preserve">Use these values to test the model. Copy them into the input sheets.</t>
  </si>
  <si>
    <t xml:space="preserve">Project Setup Values</t>
  </si>
  <si>
    <t xml:space="preserve">AR Automation &amp; Collections Optimization</t>
  </si>
  <si>
    <t xml:space="preserve">VP Finance</t>
  </si>
  <si>
    <t xml:space="preserve">Timeline</t>
  </si>
  <si>
    <t xml:space="preserve">12 months</t>
  </si>
  <si>
    <t xml:space="preserve">Discount Rate</t>
  </si>
  <si>
    <t xml:space="preserve">10%</t>
  </si>
  <si>
    <t xml:space="preserve">Annual Revenue</t>
  </si>
  <si>
    <t xml:space="preserve">€120,000,000</t>
  </si>
  <si>
    <t xml:space="preserve">AR Balance</t>
  </si>
  <si>
    <t xml:space="preserve">€18,000,000</t>
  </si>
  <si>
    <t xml:space="preserve">45 days</t>
  </si>
  <si>
    <t xml:space="preserve">Avg FTE Cost</t>
  </si>
  <si>
    <t xml:space="preserve">€65,000/yr</t>
  </si>
  <si>
    <t xml:space="preserve">Cost Model Values</t>
  </si>
  <si>
    <t xml:space="preserve">€180,000 one-time / €85,000 annual</t>
  </si>
  <si>
    <t xml:space="preserve">€250,000 one-time / €0 annual</t>
  </si>
  <si>
    <t xml:space="preserve">€120,000 one-time / €30,000 annual</t>
  </si>
  <si>
    <t xml:space="preserve">€45,000 one-time / €15,000 annual</t>
  </si>
  <si>
    <t xml:space="preserve">€25,000 one-time / €18,000 annual</t>
  </si>
  <si>
    <t xml:space="preserve">Contingency (15%)</t>
  </si>
  <si>
    <t xml:space="preserve">€93,000 one-time / €22,200 annual</t>
  </si>
  <si>
    <t xml:space="preserve">Benefit Values</t>
  </si>
  <si>
    <t xml:space="preserve">€195,000/yr (3 FTE redeployed)</t>
  </si>
  <si>
    <t xml:space="preserve">8 days reduction</t>
  </si>
  <si>
    <t xml:space="preserve">€72,000/yr</t>
  </si>
  <si>
    <t xml:space="preserve">€48,000/yr</t>
  </si>
  <si>
    <t xml:space="preserve">€35,000/yr</t>
  </si>
  <si>
    <t xml:space="preserve">€60,000/yr</t>
  </si>
  <si>
    <t xml:space="preserve">Expected Result with Example Data:</t>
  </si>
  <si>
    <t xml:space="preserve">Total One-Time Investment</t>
  </si>
  <si>
    <t xml:space="preserve">~€713,000</t>
  </si>
  <si>
    <t xml:space="preserve">Total Annual Cost</t>
  </si>
  <si>
    <t xml:space="preserve">~€170,200</t>
  </si>
  <si>
    <t xml:space="preserve">Total Annual Benefit (incl. WC)</t>
  </si>
  <si>
    <t xml:space="preserve">~€673,000+</t>
  </si>
  <si>
    <t xml:space="preserve">Simple Payback</t>
  </si>
  <si>
    <t xml:space="preserve">~1.4 years</t>
  </si>
  <si>
    <t xml:space="preserve">&gt; 100%</t>
  </si>
  <si>
    <t xml:space="preserve">CALCULATIONS (HIDDEN)</t>
  </si>
  <si>
    <t xml:space="preserve">NPV (Base Case)</t>
  </si>
  <si>
    <t xml:space="preserve">IRR (Base Case)</t>
  </si>
  <si>
    <t xml:space="preserve">Cashflows for IRR:</t>
  </si>
  <si>
    <t xml:space="preserve">DROPDOWN DATA (HIDDEN)</t>
  </si>
  <si>
    <t xml:space="preserve">AR &amp; Collections Only</t>
  </si>
  <si>
    <t xml:space="preserve">Distribution / Wholesale</t>
  </si>
  <si>
    <t xml:space="preserve">North America</t>
  </si>
  <si>
    <t xml:space="preserve">Billing &amp; Invoicing</t>
  </si>
  <si>
    <t xml:space="preserve">Technology / SaaS</t>
  </si>
  <si>
    <t xml:space="preserve">Asia-Pacific</t>
  </si>
  <si>
    <t xml:space="preserve">Credit Management</t>
  </si>
  <si>
    <t xml:space="preserve">Professional Services</t>
  </si>
  <si>
    <t xml:space="preserve">Middle East</t>
  </si>
  <si>
    <t xml:space="preserve">Cash Application</t>
  </si>
  <si>
    <t xml:space="preserve">Retail / E-Commerce</t>
  </si>
  <si>
    <t xml:space="preserve">Latin America</t>
  </si>
  <si>
    <t xml:space="preserve">Healthcare / Pharma</t>
  </si>
  <si>
    <t xml:space="preserve">Global</t>
  </si>
  <si>
    <t xml:space="preserve">Financial Services</t>
  </si>
  <si>
    <t xml:space="preserve">Energy / Utilities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</si>
</sst>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&quot; months&quot;"/>
    <numFmt numFmtId="166" formatCode="0.0%"/>
    <numFmt numFmtId="167" formatCode="#,##0"/>
    <numFmt numFmtId="168" formatCode="#,##0&quot; days&quot;"/>
    <numFmt numFmtId="169" formatCode="#,##0.0"/>
    <numFmt numFmtId="170" formatCode="#,##0;\(#,##0\);\-"/>
    <numFmt numFmtId="171" formatCode="0.0&quot; yr&quot;"/>
  </numFmts>
  <fonts count="4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58A6FF"/>
      <name val="Arial"/>
      <family val="0"/>
      <charset val="1"/>
    </font>
    <font>
      <b val="true"/>
      <sz val="28"/>
      <color rgb="FFE6EDF3"/>
      <name val="Arial"/>
      <family val="0"/>
      <charset val="1"/>
    </font>
    <font>
      <sz val="13"/>
      <color rgb="FF8B949E"/>
      <name val="Arial"/>
      <family val="0"/>
      <charset val="1"/>
    </font>
    <font>
      <sz val="11"/>
      <color rgb="FF484F58"/>
      <name val="Arial"/>
      <family val="0"/>
      <charset val="1"/>
    </font>
    <font>
      <sz val="10"/>
      <color rgb="FF8B949E"/>
      <name val="Arial"/>
      <family val="0"/>
      <charset val="1"/>
    </font>
    <font>
      <b val="true"/>
      <sz val="11"/>
      <color rgb="FF4488FF"/>
      <name val="Arial"/>
      <family val="0"/>
      <charset val="1"/>
    </font>
    <font>
      <sz val="11"/>
      <color rgb="FF4488FF"/>
      <name val="Arial"/>
      <family val="0"/>
      <charset val="1"/>
    </font>
    <font>
      <sz val="11"/>
      <color rgb="FF8B949E"/>
      <name val="Arial"/>
      <family val="0"/>
      <charset val="1"/>
    </font>
    <font>
      <b val="true"/>
      <sz val="11"/>
      <color rgb="FF58A6FF"/>
      <name val="Arial"/>
      <family val="0"/>
      <charset val="1"/>
    </font>
    <font>
      <sz val="10"/>
      <color rgb="FF484F58"/>
      <name val="Arial"/>
      <family val="0"/>
      <charset val="1"/>
    </font>
    <font>
      <sz val="11"/>
      <color rgb="FF58A6FF"/>
      <name val="Arial"/>
      <family val="0"/>
      <charset val="1"/>
    </font>
    <font>
      <b val="true"/>
      <sz val="14"/>
      <color rgb="FF58A6FF"/>
      <name val="Arial"/>
      <family val="0"/>
      <charset val="1"/>
    </font>
    <font>
      <b val="true"/>
      <sz val="10"/>
      <color rgb="FF58A6FF"/>
      <name val="Arial"/>
      <family val="0"/>
      <charset val="1"/>
    </font>
    <font>
      <b val="true"/>
      <sz val="12"/>
      <color rgb="FFE6EDF3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3FB950"/>
      <name val="Arial"/>
      <family val="0"/>
      <charset val="1"/>
    </font>
    <font>
      <b val="true"/>
      <sz val="11"/>
      <color rgb="FFF85149"/>
      <name val="Arial"/>
      <family val="0"/>
      <charset val="1"/>
    </font>
    <font>
      <b val="true"/>
      <sz val="11"/>
      <color rgb="FFD29922"/>
      <name val="Arial"/>
      <family val="0"/>
      <charset val="1"/>
    </font>
    <font>
      <sz val="11"/>
      <color rgb="FFBC8CFF"/>
      <name val="Arial"/>
      <family val="0"/>
      <charset val="1"/>
    </font>
    <font>
      <sz val="11"/>
      <color rgb="FFE6EDF3"/>
      <name val="Arial"/>
      <family val="0"/>
      <charset val="1"/>
    </font>
    <font>
      <sz val="11"/>
      <color rgb="FF4488FF"/>
      <name val="Aptos"/>
      <family val="0"/>
      <charset val="1"/>
    </font>
    <font>
      <sz val="11"/>
      <color rgb="FF3FB950"/>
      <name val="Arial"/>
      <family val="0"/>
      <charset val="1"/>
    </font>
    <font>
      <sz val="11"/>
      <color rgb="FFD29922"/>
      <name val="Arial"/>
      <family val="0"/>
      <charset val="1"/>
    </font>
    <font>
      <sz val="11"/>
      <color rgb="FFF85149"/>
      <name val="Arial"/>
      <family val="0"/>
      <charset val="1"/>
    </font>
    <font>
      <b val="true"/>
      <sz val="10"/>
      <color rgb="FFE6EDF3"/>
      <name val="Arial"/>
      <family val="0"/>
      <charset val="1"/>
    </font>
    <font>
      <sz val="11"/>
      <color rgb="FFE6EDF3"/>
      <name val="Aptos"/>
      <family val="0"/>
      <charset val="1"/>
    </font>
    <font>
      <b val="true"/>
      <sz val="12"/>
      <color rgb="FFF85149"/>
      <name val="Arial"/>
      <family val="0"/>
      <charset val="1"/>
    </font>
    <font>
      <b val="true"/>
      <sz val="12"/>
      <color rgb="FF3FB950"/>
      <name val="Arial"/>
      <family val="0"/>
      <charset val="1"/>
    </font>
    <font>
      <b val="true"/>
      <sz val="14"/>
      <color rgb="FF3FB950"/>
      <name val="Arial"/>
      <family val="0"/>
      <charset val="1"/>
    </font>
    <font>
      <b val="true"/>
      <sz val="11"/>
      <color rgb="FFE6EDF3"/>
      <name val="Arial"/>
      <family val="0"/>
      <charset val="1"/>
    </font>
    <font>
      <b val="true"/>
      <sz val="10"/>
      <color rgb="FF8B949E"/>
      <name val="Arial"/>
      <family val="0"/>
      <charset val="1"/>
    </font>
    <font>
      <b val="true"/>
      <sz val="18"/>
      <color rgb="FF3FB950"/>
      <name val="Arial"/>
      <family val="0"/>
      <charset val="1"/>
    </font>
    <font>
      <b val="true"/>
      <sz val="18"/>
      <color rgb="FF58A6FF"/>
      <name val="Arial"/>
      <family val="0"/>
      <charset val="1"/>
    </font>
    <font>
      <b val="true"/>
      <sz val="18"/>
      <color rgb="FF39D2C0"/>
      <name val="Arial"/>
      <family val="0"/>
      <charset val="1"/>
    </font>
    <font>
      <b val="true"/>
      <sz val="16"/>
      <color rgb="FF3FB950"/>
      <name val="Arial"/>
      <family val="0"/>
      <charset val="1"/>
    </font>
    <font>
      <sz val="12"/>
      <color rgb="FF8B949E"/>
      <name val="Arial"/>
      <family val="0"/>
      <charset val="1"/>
    </font>
    <font>
      <b val="true"/>
      <sz val="20"/>
      <color rgb="FF3FB950"/>
      <name val="Arial"/>
      <family val="0"/>
      <charset val="1"/>
    </font>
    <font>
      <b val="true"/>
      <sz val="20"/>
      <color rgb="FF58A6FF"/>
      <name val="Arial"/>
      <family val="0"/>
      <charset val="1"/>
    </font>
    <font>
      <b val="true"/>
      <sz val="20"/>
      <color rgb="FF39D2C0"/>
      <name val="Arial"/>
      <family val="0"/>
      <charset val="1"/>
    </font>
    <font>
      <b val="true"/>
      <sz val="12"/>
      <color rgb="FFD29922"/>
      <name val="Arial"/>
      <family val="0"/>
      <charset val="1"/>
    </font>
    <font>
      <sz val="10"/>
      <color rgb="FF8B949E"/>
      <name val="Aptos"/>
      <family val="0"/>
      <charset val="1"/>
    </font>
    <font>
      <b val="true"/>
      <sz val="14"/>
      <color rgb="FFD29922"/>
      <name val="Arial"/>
      <family val="0"/>
      <charset val="1"/>
    </font>
    <font>
      <sz val="11"/>
      <color rgb="FF39D2C0"/>
      <name val="Arial"/>
      <family val="0"/>
      <charset val="1"/>
    </font>
    <font>
      <b val="true"/>
      <sz val="11"/>
      <color rgb="FF58A6FF"/>
      <name val="Aptos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D1117"/>
        <bgColor rgb="FF161B22"/>
      </patternFill>
    </fill>
    <fill>
      <patternFill patternType="solid">
        <fgColor rgb="FF58A6FF"/>
        <bgColor rgb="FF4488FF"/>
      </patternFill>
    </fill>
    <fill>
      <patternFill patternType="solid">
        <fgColor rgb="FF161B22"/>
        <bgColor rgb="FF1C2333"/>
      </patternFill>
    </fill>
    <fill>
      <patternFill patternType="solid">
        <fgColor rgb="FFFFFFFF"/>
        <bgColor rgb="FFFFFFCC"/>
      </patternFill>
    </fill>
    <fill>
      <patternFill patternType="solid">
        <fgColor rgb="FF1A3A2A"/>
        <bgColor rgb="FF30363D"/>
      </patternFill>
    </fill>
    <fill>
      <patternFill patternType="solid">
        <fgColor rgb="FF3D1F1F"/>
        <bgColor rgb="FF3D2E0A"/>
      </patternFill>
    </fill>
    <fill>
      <patternFill patternType="solid">
        <fgColor rgb="FF3D2E0A"/>
        <bgColor rgb="FF3D1F1F"/>
      </patternFill>
    </fill>
    <fill>
      <patternFill patternType="solid">
        <fgColor rgb="FF1F3A5F"/>
        <bgColor rgb="FF30363D"/>
      </patternFill>
    </fill>
    <fill>
      <patternFill patternType="solid">
        <fgColor rgb="FF1C2333"/>
        <bgColor rgb="FF161B2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30363D"/>
      </left>
      <right style="thin">
        <color rgb="FF30363D"/>
      </right>
      <top style="thin">
        <color rgb="FF30363D"/>
      </top>
      <bottom style="thin">
        <color rgb="FF30363D"/>
      </bottom>
      <diagonal/>
    </border>
    <border diagonalUp="false" diagonalDown="false">
      <left style="thin">
        <color rgb="FF30363D"/>
      </left>
      <right/>
      <top style="thin">
        <color rgb="FF30363D"/>
      </top>
      <bottom style="thin">
        <color rgb="FF30363D"/>
      </bottom>
      <diagonal/>
    </border>
    <border diagonalUp="false" diagonalDown="false">
      <left style="thin">
        <color rgb="FF58A6FF"/>
      </left>
      <right style="thin">
        <color rgb="FF58A6FF"/>
      </right>
      <top style="thin">
        <color rgb="FF58A6FF"/>
      </top>
      <bottom style="thin">
        <color rgb="FF58A6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9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0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0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0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2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2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2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0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30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14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4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3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32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5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5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7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5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7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4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4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1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3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7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3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4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5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5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4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0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31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4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43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5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1A3A2A"/>
        </patternFill>
      </fill>
    </dxf>
    <dxf>
      <fill>
        <patternFill>
          <bgColor rgb="FF3D1F1F"/>
        </patternFill>
      </fill>
    </dxf>
    <dxf>
      <font>
        <name val="Consolas"/>
        <charset val="1"/>
        <family val="0"/>
        <color rgb="FF3FB950"/>
        <sz val="11"/>
      </font>
    </dxf>
    <dxf>
      <font>
        <name val="Consolas"/>
        <charset val="1"/>
        <family val="0"/>
        <color rgb="FFF85149"/>
        <sz val="11"/>
      </font>
    </dxf>
    <dxf>
      <fill>
        <patternFill>
          <bgColor rgb="FF3D2E0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D1117"/>
      <rgbColor rgb="FF808000"/>
      <rgbColor rgb="FF800080"/>
      <rgbColor rgb="FF0E7490"/>
      <rgbColor rgb="FFC0C0C0"/>
      <rgbColor rgb="FF808080"/>
      <rgbColor rgb="FF58A6FF"/>
      <rgbColor rgb="FF993366"/>
      <rgbColor rgb="FFFFFFCC"/>
      <rgbColor rgb="FFE6EDF3"/>
      <rgbColor rgb="FF3D1F1F"/>
      <rgbColor rgb="FFFF8080"/>
      <rgbColor rgb="FF0066CC"/>
      <rgbColor rgb="FFCCCCFF"/>
      <rgbColor rgb="FF161B22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BC8CFF"/>
      <rgbColor rgb="FFFFCC99"/>
      <rgbColor rgb="FF4488FF"/>
      <rgbColor rgb="FF39D2C0"/>
      <rgbColor rgb="FFC9A227"/>
      <rgbColor rgb="FFFFCC00"/>
      <rgbColor rgb="FFD29922"/>
      <rgbColor rgb="FFF85149"/>
      <rgbColor rgb="FF484F58"/>
      <rgbColor rgb="FF8B949E"/>
      <rgbColor rgb="FF1F3A5F"/>
      <rgbColor rgb="FF3FB950"/>
      <rgbColor rgb="FF1A3A2A"/>
      <rgbColor rgb="FF3D2E0A"/>
      <rgbColor rgb="FF993300"/>
      <rgbColor rgb="FF993366"/>
      <rgbColor rgb="FF1C2333"/>
      <rgbColor rgb="FF3036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1117"/>
    <pageSetUpPr fitToPage="true"/>
  </sheetPr>
  <dimension ref="A1:L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2" min="1" style="1" width="14"/>
  </cols>
  <sheetData>
    <row r="1" customFormat="false" ht="14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4.2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4.2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true" outlineLevel="0" collapsed="false">
      <c r="A4" s="2"/>
      <c r="B4" s="3" t="s">
        <v>0</v>
      </c>
      <c r="C4" s="3"/>
      <c r="D4" s="3"/>
      <c r="E4" s="3"/>
      <c r="F4" s="3"/>
      <c r="G4" s="3"/>
      <c r="H4" s="3"/>
      <c r="I4" s="3"/>
      <c r="J4" s="3"/>
      <c r="K4" s="3"/>
      <c r="L4" s="2"/>
    </row>
    <row r="5" customFormat="false" ht="14.2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customFormat="false" ht="33.75" hidden="false" customHeight="true" outlineLevel="0" collapsed="false">
      <c r="A6" s="2"/>
      <c r="B6" s="4" t="s">
        <v>1</v>
      </c>
      <c r="C6" s="4"/>
      <c r="D6" s="4"/>
      <c r="E6" s="4"/>
      <c r="F6" s="4"/>
      <c r="G6" s="4"/>
      <c r="H6" s="4"/>
      <c r="I6" s="4"/>
      <c r="J6" s="4"/>
      <c r="K6" s="4"/>
      <c r="L6" s="2"/>
    </row>
    <row r="7" customFormat="false" ht="33.75" hidden="false" customHeight="true" outlineLevel="0" collapsed="false">
      <c r="A7" s="2"/>
      <c r="B7" s="4" t="s">
        <v>2</v>
      </c>
      <c r="C7" s="4"/>
      <c r="D7" s="4"/>
      <c r="E7" s="4"/>
      <c r="F7" s="4"/>
      <c r="G7" s="4"/>
      <c r="H7" s="4"/>
      <c r="I7" s="4"/>
      <c r="J7" s="4"/>
      <c r="K7" s="4"/>
      <c r="L7" s="2"/>
    </row>
    <row r="8" customFormat="false" ht="14.25" hidden="false" customHeight="tru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customFormat="false" ht="15.75" hidden="false" customHeight="true" outlineLevel="0" collapsed="false">
      <c r="A9" s="2"/>
      <c r="B9" s="5" t="s">
        <v>3</v>
      </c>
      <c r="C9" s="5"/>
      <c r="D9" s="5"/>
      <c r="E9" s="5"/>
      <c r="F9" s="5"/>
      <c r="G9" s="5"/>
      <c r="H9" s="5"/>
      <c r="I9" s="5"/>
      <c r="J9" s="5"/>
      <c r="K9" s="5"/>
      <c r="L9" s="2"/>
    </row>
    <row r="10" customFormat="false" ht="14.25" hidden="false" customHeight="tru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customFormat="false" ht="15" hidden="false" customHeight="true" outlineLevel="0" collapsed="false">
      <c r="A11" s="2"/>
      <c r="B11" s="6" t="s">
        <v>4</v>
      </c>
      <c r="C11" s="6"/>
      <c r="D11" s="6"/>
      <c r="E11" s="6"/>
      <c r="F11" s="6"/>
      <c r="G11" s="6"/>
      <c r="H11" s="6"/>
      <c r="I11" s="6"/>
      <c r="J11" s="6"/>
      <c r="K11" s="6"/>
      <c r="L11" s="2"/>
    </row>
    <row r="12" customFormat="false" ht="14.25" hidden="false" customHeight="tru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customFormat="false" ht="14.25" hidden="false" customHeight="true" outlineLevel="0" collapsed="false">
      <c r="A13" s="2"/>
      <c r="B13" s="7"/>
      <c r="C13" s="7"/>
      <c r="D13" s="7"/>
      <c r="E13" s="7"/>
      <c r="F13" s="7"/>
      <c r="G13" s="7"/>
      <c r="H13" s="7"/>
      <c r="I13" s="7"/>
      <c r="J13" s="7"/>
      <c r="K13" s="7"/>
      <c r="L13" s="2"/>
    </row>
    <row r="14" customFormat="false" ht="14.25" hidden="false" customHeight="tru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customFormat="false" ht="15" hidden="false" customHeight="true" outlineLevel="0" collapsed="false">
      <c r="A15" s="2"/>
      <c r="B15" s="8" t="s">
        <v>5</v>
      </c>
      <c r="C15" s="8"/>
      <c r="D15" s="8"/>
      <c r="E15" s="8"/>
      <c r="F15" s="2"/>
      <c r="G15" s="8" t="s">
        <v>6</v>
      </c>
      <c r="H15" s="8"/>
      <c r="I15" s="8"/>
      <c r="J15" s="8"/>
      <c r="K15" s="8"/>
      <c r="L15" s="2"/>
    </row>
    <row r="16" customFormat="false" ht="15" hidden="false" customHeight="true" outlineLevel="0" collapsed="false">
      <c r="A16" s="2"/>
      <c r="B16" s="9" t="s">
        <v>7</v>
      </c>
      <c r="C16" s="9"/>
      <c r="D16" s="9"/>
      <c r="E16" s="9"/>
      <c r="F16" s="2"/>
      <c r="G16" s="9" t="s">
        <v>8</v>
      </c>
      <c r="H16" s="9"/>
      <c r="I16" s="9"/>
      <c r="J16" s="9"/>
      <c r="K16" s="9"/>
      <c r="L16" s="2"/>
    </row>
    <row r="17" customFormat="false" ht="14.25" hidden="false" customHeight="tru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customFormat="false" ht="15" hidden="false" customHeight="true" outlineLevel="0" collapsed="false">
      <c r="A18" s="2"/>
      <c r="B18" s="8" t="s">
        <v>9</v>
      </c>
      <c r="C18" s="8"/>
      <c r="D18" s="8"/>
      <c r="E18" s="8"/>
      <c r="F18" s="2"/>
      <c r="G18" s="8" t="s">
        <v>10</v>
      </c>
      <c r="H18" s="8"/>
      <c r="I18" s="8"/>
      <c r="J18" s="8"/>
      <c r="K18" s="8"/>
      <c r="L18" s="2"/>
    </row>
    <row r="19" customFormat="false" ht="15" hidden="false" customHeight="true" outlineLevel="0" collapsed="false">
      <c r="A19" s="2"/>
      <c r="B19" s="10" t="s">
        <v>11</v>
      </c>
      <c r="C19" s="10"/>
      <c r="D19" s="10"/>
      <c r="E19" s="10"/>
      <c r="F19" s="2"/>
      <c r="G19" s="10" t="n">
        <v>1</v>
      </c>
      <c r="H19" s="10"/>
      <c r="I19" s="10"/>
      <c r="J19" s="10"/>
      <c r="K19" s="10"/>
      <c r="L19" s="2"/>
    </row>
    <row r="20" customFormat="false" ht="14.25" hidden="false" customHeight="tru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customFormat="false" ht="14.25" hidden="false" customHeight="tru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customFormat="false" ht="15" hidden="false" customHeight="true" outlineLevel="0" collapsed="false">
      <c r="A22" s="2"/>
      <c r="B22" s="11" t="s">
        <v>12</v>
      </c>
      <c r="C22" s="11"/>
      <c r="D22" s="11"/>
      <c r="E22" s="11"/>
      <c r="F22" s="11"/>
      <c r="G22" s="11"/>
      <c r="H22" s="11"/>
      <c r="I22" s="11"/>
      <c r="J22" s="11"/>
      <c r="K22" s="11"/>
      <c r="L22" s="2"/>
    </row>
    <row r="23" customFormat="false" ht="14.25" hidden="false" customHeight="true" outlineLevel="0" collapsed="false">
      <c r="A23" s="2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2"/>
    </row>
    <row r="24" customFormat="false" ht="14.25" hidden="false" customHeight="true" outlineLevel="0" collapsed="false">
      <c r="A24" s="2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2"/>
    </row>
    <row r="25" customFormat="false" ht="14.25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customFormat="false" ht="14.2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customFormat="false" ht="14.25" hidden="false" customHeight="true" outlineLevel="0" collapsed="false">
      <c r="A27" s="2"/>
      <c r="B27" s="12" t="s">
        <v>13</v>
      </c>
      <c r="C27" s="2"/>
      <c r="D27" s="2"/>
      <c r="E27" s="2"/>
      <c r="F27" s="2"/>
      <c r="G27" s="2"/>
      <c r="H27" s="2"/>
      <c r="I27" s="2"/>
      <c r="J27" s="2"/>
      <c r="K27" s="2"/>
      <c r="L27" s="2"/>
    </row>
    <row r="28" customFormat="false" ht="15" hidden="false" customHeight="true" outlineLevel="0" collapsed="false">
      <c r="A28" s="2"/>
      <c r="B28" s="13" t="n">
        <v>1</v>
      </c>
      <c r="C28" s="14" t="s">
        <v>14</v>
      </c>
      <c r="D28" s="8" t="s">
        <v>15</v>
      </c>
      <c r="E28" s="8"/>
      <c r="F28" s="8"/>
      <c r="G28" s="8"/>
      <c r="H28" s="8"/>
      <c r="I28" s="2"/>
      <c r="J28" s="2"/>
      <c r="K28" s="2"/>
      <c r="L28" s="2"/>
    </row>
    <row r="29" customFormat="false" ht="27.75" hidden="false" customHeight="true" outlineLevel="0" collapsed="false">
      <c r="A29" s="2"/>
      <c r="B29" s="13" t="n">
        <v>2</v>
      </c>
      <c r="C29" s="14" t="s">
        <v>16</v>
      </c>
      <c r="D29" s="8" t="s">
        <v>17</v>
      </c>
      <c r="E29" s="8"/>
      <c r="F29" s="8"/>
      <c r="G29" s="8"/>
      <c r="H29" s="8"/>
      <c r="I29" s="2"/>
      <c r="J29" s="2"/>
      <c r="K29" s="2"/>
      <c r="L29" s="2"/>
    </row>
    <row r="30" customFormat="false" ht="15" hidden="false" customHeight="true" outlineLevel="0" collapsed="false">
      <c r="A30" s="2"/>
      <c r="B30" s="13" t="n">
        <v>3</v>
      </c>
      <c r="C30" s="14" t="s">
        <v>18</v>
      </c>
      <c r="D30" s="8" t="s">
        <v>19</v>
      </c>
      <c r="E30" s="8"/>
      <c r="F30" s="8"/>
      <c r="G30" s="8"/>
      <c r="H30" s="8"/>
      <c r="I30" s="2"/>
      <c r="J30" s="2"/>
      <c r="K30" s="2"/>
      <c r="L30" s="2"/>
    </row>
    <row r="31" customFormat="false" ht="15" hidden="false" customHeight="true" outlineLevel="0" collapsed="false">
      <c r="A31" s="2"/>
      <c r="B31" s="13" t="n">
        <v>4</v>
      </c>
      <c r="C31" s="14" t="s">
        <v>20</v>
      </c>
      <c r="D31" s="8" t="s">
        <v>21</v>
      </c>
      <c r="E31" s="8"/>
      <c r="F31" s="8"/>
      <c r="G31" s="8"/>
      <c r="H31" s="8"/>
      <c r="I31" s="2"/>
      <c r="J31" s="2"/>
      <c r="K31" s="2"/>
      <c r="L31" s="2"/>
    </row>
    <row r="32" customFormat="false" ht="15" hidden="false" customHeight="true" outlineLevel="0" collapsed="false">
      <c r="A32" s="2"/>
      <c r="B32" s="13" t="n">
        <v>5</v>
      </c>
      <c r="C32" s="14" t="s">
        <v>22</v>
      </c>
      <c r="D32" s="8" t="s">
        <v>23</v>
      </c>
      <c r="E32" s="8"/>
      <c r="F32" s="8"/>
      <c r="G32" s="8"/>
      <c r="H32" s="8"/>
      <c r="I32" s="2"/>
      <c r="J32" s="2"/>
      <c r="K32" s="2"/>
      <c r="L32" s="2"/>
    </row>
    <row r="33" customFormat="false" ht="15" hidden="false" customHeight="true" outlineLevel="0" collapsed="false">
      <c r="A33" s="2"/>
      <c r="B33" s="13" t="n">
        <v>6</v>
      </c>
      <c r="C33" s="14" t="s">
        <v>24</v>
      </c>
      <c r="D33" s="8" t="s">
        <v>25</v>
      </c>
      <c r="E33" s="8"/>
      <c r="F33" s="8"/>
      <c r="G33" s="8"/>
      <c r="H33" s="8"/>
      <c r="I33" s="2"/>
      <c r="J33" s="2"/>
      <c r="K33" s="2"/>
      <c r="L33" s="2"/>
    </row>
    <row r="34" customFormat="false" ht="27.75" hidden="false" customHeight="true" outlineLevel="0" collapsed="false">
      <c r="A34" s="2"/>
      <c r="B34" s="13" t="n">
        <v>7</v>
      </c>
      <c r="C34" s="14" t="s">
        <v>26</v>
      </c>
      <c r="D34" s="8" t="s">
        <v>27</v>
      </c>
      <c r="E34" s="8"/>
      <c r="F34" s="8"/>
      <c r="G34" s="8"/>
      <c r="H34" s="8"/>
      <c r="I34" s="2"/>
      <c r="J34" s="2"/>
      <c r="K34" s="2"/>
      <c r="L34" s="2"/>
    </row>
    <row r="35" customFormat="false" ht="15" hidden="false" customHeight="true" outlineLevel="0" collapsed="false">
      <c r="A35" s="2"/>
      <c r="B35" s="13" t="n">
        <v>8</v>
      </c>
      <c r="C35" s="14" t="s">
        <v>28</v>
      </c>
      <c r="D35" s="8" t="s">
        <v>29</v>
      </c>
      <c r="E35" s="8"/>
      <c r="F35" s="8"/>
      <c r="G35" s="8"/>
      <c r="H35" s="8"/>
      <c r="I35" s="2"/>
      <c r="J35" s="2"/>
      <c r="K35" s="2"/>
      <c r="L35" s="2"/>
    </row>
    <row r="36" customFormat="false" ht="27.75" hidden="false" customHeight="true" outlineLevel="0" collapsed="false">
      <c r="A36" s="2"/>
      <c r="B36" s="13" t="n">
        <v>9</v>
      </c>
      <c r="C36" s="14" t="s">
        <v>30</v>
      </c>
      <c r="D36" s="8" t="s">
        <v>31</v>
      </c>
      <c r="E36" s="8"/>
      <c r="F36" s="8"/>
      <c r="G36" s="8"/>
      <c r="H36" s="8"/>
      <c r="I36" s="2"/>
      <c r="J36" s="2"/>
      <c r="K36" s="2"/>
      <c r="L36" s="2"/>
    </row>
    <row r="37" customFormat="false" ht="14.2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customFormat="false" ht="14.2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customFormat="false" ht="15" hidden="false" customHeight="true" outlineLevel="0" collapsed="false">
      <c r="A39" s="2"/>
      <c r="B39" s="15" t="s">
        <v>32</v>
      </c>
      <c r="C39" s="15"/>
      <c r="D39" s="15"/>
      <c r="E39" s="15"/>
      <c r="F39" s="15"/>
      <c r="G39" s="15"/>
      <c r="H39" s="15"/>
      <c r="I39" s="15"/>
      <c r="J39" s="15"/>
      <c r="K39" s="15"/>
      <c r="L39" s="2"/>
    </row>
    <row r="40" customFormat="false" ht="14.2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</sheetData>
  <mergeCells count="24">
    <mergeCell ref="B4:K4"/>
    <mergeCell ref="B6:K6"/>
    <mergeCell ref="B7:K7"/>
    <mergeCell ref="B9:K9"/>
    <mergeCell ref="B11:K11"/>
    <mergeCell ref="B15:E15"/>
    <mergeCell ref="G15:K15"/>
    <mergeCell ref="B16:E16"/>
    <mergeCell ref="G16:K16"/>
    <mergeCell ref="B18:E18"/>
    <mergeCell ref="G18:K18"/>
    <mergeCell ref="B19:E19"/>
    <mergeCell ref="G19:K19"/>
    <mergeCell ref="B22:K24"/>
    <mergeCell ref="D28:H28"/>
    <mergeCell ref="D29:H29"/>
    <mergeCell ref="D30:H30"/>
    <mergeCell ref="D31:H31"/>
    <mergeCell ref="D32:H32"/>
    <mergeCell ref="D33:H33"/>
    <mergeCell ref="D34:H34"/>
    <mergeCell ref="D35:H35"/>
    <mergeCell ref="D36:H36"/>
    <mergeCell ref="B39:K39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490"/>
    <pageSetUpPr fitToPage="true"/>
  </sheetPr>
  <dimension ref="A1:L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"/>
    <col collapsed="false" customWidth="true" hidden="false" outlineLevel="0" max="3" min="3" style="1" width="40"/>
    <col collapsed="false" customWidth="true" hidden="false" outlineLevel="0" max="4" min="4" style="1" width="50"/>
  </cols>
  <sheetData>
    <row r="1" customFormat="false" ht="14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7.25" hidden="false" customHeight="true" outlineLevel="0" collapsed="false">
      <c r="A2" s="2"/>
      <c r="B2" s="16" t="s">
        <v>33</v>
      </c>
      <c r="C2" s="16"/>
      <c r="D2" s="16"/>
      <c r="E2" s="16"/>
      <c r="F2" s="16"/>
      <c r="G2" s="16"/>
      <c r="H2" s="16"/>
      <c r="I2" s="16"/>
      <c r="J2" s="16"/>
      <c r="K2" s="16"/>
      <c r="L2" s="2"/>
    </row>
    <row r="3" customFormat="false" ht="14.2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true" outlineLevel="0" collapsed="false">
      <c r="A4" s="2"/>
      <c r="B4" s="17" t="s">
        <v>34</v>
      </c>
      <c r="C4" s="18" t="s">
        <v>16</v>
      </c>
      <c r="D4" s="2"/>
      <c r="E4" s="2"/>
      <c r="F4" s="2"/>
      <c r="G4" s="2"/>
      <c r="H4" s="2"/>
      <c r="I4" s="2"/>
      <c r="J4" s="2"/>
      <c r="K4" s="2"/>
      <c r="L4" s="2"/>
    </row>
    <row r="5" customFormat="false" ht="45" hidden="false" customHeight="true" outlineLevel="0" collapsed="false">
      <c r="A5" s="2"/>
      <c r="B5" s="2"/>
      <c r="C5" s="19" t="s">
        <v>35</v>
      </c>
      <c r="D5" s="19"/>
      <c r="E5" s="19"/>
      <c r="F5" s="19"/>
      <c r="G5" s="19"/>
      <c r="H5" s="19"/>
      <c r="I5" s="19"/>
      <c r="J5" s="19"/>
      <c r="K5" s="2"/>
      <c r="L5" s="2"/>
    </row>
    <row r="6" customFormat="false" ht="14.25" hidden="false" customHeight="tru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customFormat="false" ht="15" hidden="false" customHeight="true" outlineLevel="0" collapsed="false">
      <c r="A7" s="2"/>
      <c r="B7" s="17" t="s">
        <v>36</v>
      </c>
      <c r="C7" s="18" t="s">
        <v>18</v>
      </c>
      <c r="D7" s="2"/>
      <c r="E7" s="2"/>
      <c r="F7" s="2"/>
      <c r="G7" s="2"/>
      <c r="H7" s="2"/>
      <c r="I7" s="2"/>
      <c r="J7" s="2"/>
      <c r="K7" s="2"/>
      <c r="L7" s="2"/>
    </row>
    <row r="8" customFormat="false" ht="45" hidden="false" customHeight="true" outlineLevel="0" collapsed="false">
      <c r="A8" s="2"/>
      <c r="B8" s="2"/>
      <c r="C8" s="19" t="s">
        <v>37</v>
      </c>
      <c r="D8" s="19"/>
      <c r="E8" s="19"/>
      <c r="F8" s="19"/>
      <c r="G8" s="19"/>
      <c r="H8" s="19"/>
      <c r="I8" s="19"/>
      <c r="J8" s="19"/>
      <c r="K8" s="2"/>
      <c r="L8" s="2"/>
    </row>
    <row r="9" customFormat="false" ht="14.25" hidden="false" customHeight="tru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customFormat="false" ht="15" hidden="false" customHeight="true" outlineLevel="0" collapsed="false">
      <c r="A10" s="2"/>
      <c r="B10" s="17" t="s">
        <v>38</v>
      </c>
      <c r="C10" s="18" t="s">
        <v>20</v>
      </c>
      <c r="D10" s="2"/>
      <c r="E10" s="2"/>
      <c r="F10" s="2"/>
      <c r="G10" s="2"/>
      <c r="H10" s="2"/>
      <c r="I10" s="2"/>
      <c r="J10" s="2"/>
      <c r="K10" s="2"/>
      <c r="L10" s="2"/>
    </row>
    <row r="11" customFormat="false" ht="45" hidden="false" customHeight="true" outlineLevel="0" collapsed="false">
      <c r="A11" s="2"/>
      <c r="B11" s="2"/>
      <c r="C11" s="19" t="s">
        <v>39</v>
      </c>
      <c r="D11" s="19"/>
      <c r="E11" s="19"/>
      <c r="F11" s="19"/>
      <c r="G11" s="19"/>
      <c r="H11" s="19"/>
      <c r="I11" s="19"/>
      <c r="J11" s="19"/>
      <c r="K11" s="2"/>
      <c r="L11" s="2"/>
    </row>
    <row r="12" customFormat="false" ht="14.25" hidden="false" customHeight="tru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customFormat="false" ht="15" hidden="false" customHeight="true" outlineLevel="0" collapsed="false">
      <c r="A13" s="2"/>
      <c r="B13" s="17" t="s">
        <v>40</v>
      </c>
      <c r="C13" s="18" t="s">
        <v>22</v>
      </c>
      <c r="D13" s="2"/>
      <c r="E13" s="2"/>
      <c r="F13" s="2"/>
      <c r="G13" s="2"/>
      <c r="H13" s="2"/>
      <c r="I13" s="2"/>
      <c r="J13" s="2"/>
      <c r="K13" s="2"/>
      <c r="L13" s="2"/>
    </row>
    <row r="14" customFormat="false" ht="45" hidden="false" customHeight="true" outlineLevel="0" collapsed="false">
      <c r="A14" s="2"/>
      <c r="B14" s="2"/>
      <c r="C14" s="19" t="s">
        <v>41</v>
      </c>
      <c r="D14" s="19"/>
      <c r="E14" s="19"/>
      <c r="F14" s="19"/>
      <c r="G14" s="19"/>
      <c r="H14" s="19"/>
      <c r="I14" s="19"/>
      <c r="J14" s="19"/>
      <c r="K14" s="2"/>
      <c r="L14" s="2"/>
    </row>
    <row r="15" customFormat="false" ht="14.25" hidden="false" customHeight="tru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customFormat="false" ht="15" hidden="false" customHeight="true" outlineLevel="0" collapsed="false">
      <c r="A16" s="2"/>
      <c r="B16" s="17" t="s">
        <v>42</v>
      </c>
      <c r="C16" s="18" t="s">
        <v>30</v>
      </c>
      <c r="D16" s="2"/>
      <c r="E16" s="2"/>
      <c r="F16" s="2"/>
      <c r="G16" s="2"/>
      <c r="H16" s="2"/>
      <c r="I16" s="2"/>
      <c r="J16" s="2"/>
      <c r="K16" s="2"/>
      <c r="L16" s="2"/>
    </row>
    <row r="17" customFormat="false" ht="45" hidden="false" customHeight="true" outlineLevel="0" collapsed="false">
      <c r="A17" s="2"/>
      <c r="B17" s="2"/>
      <c r="C17" s="19" t="s">
        <v>43</v>
      </c>
      <c r="D17" s="19"/>
      <c r="E17" s="19"/>
      <c r="F17" s="19"/>
      <c r="G17" s="19"/>
      <c r="H17" s="19"/>
      <c r="I17" s="19"/>
      <c r="J17" s="19"/>
      <c r="K17" s="2"/>
      <c r="L17" s="2"/>
    </row>
    <row r="18" customFormat="false" ht="14.25" hidden="false" customHeight="tru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customFormat="false" ht="15" hidden="false" customHeight="true" outlineLevel="0" collapsed="false">
      <c r="A19" s="2"/>
      <c r="B19" s="17" t="s">
        <v>44</v>
      </c>
      <c r="C19" s="18" t="s">
        <v>45</v>
      </c>
      <c r="D19" s="2"/>
      <c r="E19" s="2"/>
      <c r="F19" s="2"/>
      <c r="G19" s="2"/>
      <c r="H19" s="2"/>
      <c r="I19" s="2"/>
      <c r="J19" s="2"/>
      <c r="K19" s="2"/>
      <c r="L19" s="2"/>
    </row>
    <row r="20" customFormat="false" ht="45" hidden="false" customHeight="true" outlineLevel="0" collapsed="false">
      <c r="A20" s="2"/>
      <c r="B20" s="2"/>
      <c r="C20" s="19" t="s">
        <v>46</v>
      </c>
      <c r="D20" s="19"/>
      <c r="E20" s="19"/>
      <c r="F20" s="19"/>
      <c r="G20" s="19"/>
      <c r="H20" s="19"/>
      <c r="I20" s="19"/>
      <c r="J20" s="19"/>
      <c r="K20" s="2"/>
      <c r="L20" s="2"/>
    </row>
    <row r="21" customFormat="false" ht="14.25" hidden="false" customHeight="tru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customFormat="false" ht="14.25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customFormat="false" ht="15" hidden="false" customHeight="true" outlineLevel="0" collapsed="false">
      <c r="A23" s="2"/>
      <c r="B23" s="20" t="s">
        <v>47</v>
      </c>
      <c r="C23" s="20"/>
      <c r="D23" s="20"/>
      <c r="E23" s="20"/>
      <c r="F23" s="20"/>
      <c r="G23" s="20"/>
      <c r="H23" s="20"/>
      <c r="I23" s="20"/>
      <c r="J23" s="20"/>
      <c r="K23" s="2"/>
      <c r="L23" s="2"/>
    </row>
    <row r="24" customFormat="false" ht="15" hidden="false" customHeight="true" outlineLevel="0" collapsed="false">
      <c r="A24" s="2"/>
      <c r="B24" s="2"/>
      <c r="C24" s="21" t="s">
        <v>48</v>
      </c>
      <c r="D24" s="22" t="s">
        <v>49</v>
      </c>
      <c r="E24" s="22"/>
      <c r="F24" s="22"/>
      <c r="G24" s="22"/>
      <c r="H24" s="22"/>
      <c r="I24" s="22"/>
      <c r="J24" s="22"/>
      <c r="K24" s="2"/>
      <c r="L24" s="2"/>
    </row>
    <row r="25" customFormat="false" ht="15" hidden="false" customHeight="true" outlineLevel="0" collapsed="false">
      <c r="A25" s="2"/>
      <c r="B25" s="2"/>
      <c r="C25" s="23" t="s">
        <v>50</v>
      </c>
      <c r="D25" s="22" t="s">
        <v>51</v>
      </c>
      <c r="E25" s="22"/>
      <c r="F25" s="22"/>
      <c r="G25" s="22"/>
      <c r="H25" s="22"/>
      <c r="I25" s="22"/>
      <c r="J25" s="22"/>
      <c r="K25" s="2"/>
      <c r="L25" s="2"/>
    </row>
    <row r="26" customFormat="false" ht="15" hidden="false" customHeight="true" outlineLevel="0" collapsed="false">
      <c r="A26" s="2"/>
      <c r="B26" s="2"/>
      <c r="C26" s="24" t="s">
        <v>52</v>
      </c>
      <c r="D26" s="22" t="s">
        <v>53</v>
      </c>
      <c r="E26" s="22"/>
      <c r="F26" s="22"/>
      <c r="G26" s="22"/>
      <c r="H26" s="22"/>
      <c r="I26" s="22"/>
      <c r="J26" s="22"/>
      <c r="K26" s="2"/>
      <c r="L26" s="2"/>
    </row>
    <row r="27" customFormat="false" ht="15" hidden="false" customHeight="true" outlineLevel="0" collapsed="false">
      <c r="A27" s="2"/>
      <c r="B27" s="2"/>
      <c r="C27" s="25" t="s">
        <v>54</v>
      </c>
      <c r="D27" s="22" t="s">
        <v>55</v>
      </c>
      <c r="E27" s="22"/>
      <c r="F27" s="22"/>
      <c r="G27" s="22"/>
      <c r="H27" s="22"/>
      <c r="I27" s="22"/>
      <c r="J27" s="22"/>
      <c r="K27" s="2"/>
      <c r="L27" s="2"/>
    </row>
    <row r="28" customFormat="false" ht="15" hidden="false" customHeight="true" outlineLevel="0" collapsed="false">
      <c r="A28" s="2"/>
      <c r="B28" s="2"/>
      <c r="C28" s="26" t="s">
        <v>56</v>
      </c>
      <c r="D28" s="22" t="s">
        <v>57</v>
      </c>
      <c r="E28" s="22"/>
      <c r="F28" s="22"/>
      <c r="G28" s="22"/>
      <c r="H28" s="22"/>
      <c r="I28" s="22"/>
      <c r="J28" s="22"/>
      <c r="K28" s="2"/>
      <c r="L28" s="2"/>
    </row>
    <row r="29" customFormat="false" ht="14.2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customFormat="false" ht="14.2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customFormat="false" ht="15" hidden="false" customHeight="true" outlineLevel="0" collapsed="false">
      <c r="A31" s="2"/>
      <c r="B31" s="20" t="s">
        <v>58</v>
      </c>
      <c r="C31" s="20"/>
      <c r="D31" s="20"/>
      <c r="E31" s="20"/>
      <c r="F31" s="20"/>
      <c r="G31" s="20"/>
      <c r="H31" s="20"/>
      <c r="I31" s="20"/>
      <c r="J31" s="20"/>
      <c r="K31" s="2"/>
      <c r="L31" s="2"/>
    </row>
    <row r="32" customFormat="false" ht="15" hidden="false" customHeight="true" outlineLevel="0" collapsed="false">
      <c r="A32" s="2"/>
      <c r="B32" s="2"/>
      <c r="C32" s="27" t="s">
        <v>59</v>
      </c>
      <c r="D32" s="8" t="s">
        <v>60</v>
      </c>
      <c r="E32" s="8"/>
      <c r="F32" s="8"/>
      <c r="G32" s="8"/>
      <c r="H32" s="8"/>
      <c r="I32" s="8"/>
      <c r="J32" s="8"/>
      <c r="K32" s="2"/>
      <c r="L32" s="2"/>
    </row>
    <row r="33" customFormat="false" ht="15" hidden="false" customHeight="true" outlineLevel="0" collapsed="false">
      <c r="A33" s="2"/>
      <c r="B33" s="2"/>
      <c r="C33" s="27" t="s">
        <v>61</v>
      </c>
      <c r="D33" s="8" t="s">
        <v>62</v>
      </c>
      <c r="E33" s="8"/>
      <c r="F33" s="8"/>
      <c r="G33" s="8"/>
      <c r="H33" s="8"/>
      <c r="I33" s="8"/>
      <c r="J33" s="8"/>
      <c r="K33" s="2"/>
      <c r="L33" s="2"/>
    </row>
    <row r="34" customFormat="false" ht="15" hidden="false" customHeight="true" outlineLevel="0" collapsed="false">
      <c r="A34" s="2"/>
      <c r="B34" s="2"/>
      <c r="C34" s="27" t="s">
        <v>63</v>
      </c>
      <c r="D34" s="8" t="s">
        <v>64</v>
      </c>
      <c r="E34" s="8"/>
      <c r="F34" s="8"/>
      <c r="G34" s="8"/>
      <c r="H34" s="8"/>
      <c r="I34" s="8"/>
      <c r="J34" s="8"/>
      <c r="K34" s="2"/>
      <c r="L34" s="2"/>
    </row>
    <row r="35" customFormat="false" ht="15" hidden="false" customHeight="true" outlineLevel="0" collapsed="false">
      <c r="A35" s="2"/>
      <c r="B35" s="2"/>
      <c r="C35" s="27" t="s">
        <v>65</v>
      </c>
      <c r="D35" s="8" t="s">
        <v>66</v>
      </c>
      <c r="E35" s="8"/>
      <c r="F35" s="8"/>
      <c r="G35" s="8"/>
      <c r="H35" s="8"/>
      <c r="I35" s="8"/>
      <c r="J35" s="8"/>
      <c r="K35" s="2"/>
      <c r="L35" s="2"/>
    </row>
    <row r="36" customFormat="false" ht="15" hidden="false" customHeight="true" outlineLevel="0" collapsed="false">
      <c r="A36" s="2"/>
      <c r="B36" s="2"/>
      <c r="C36" s="27" t="s">
        <v>67</v>
      </c>
      <c r="D36" s="8" t="s">
        <v>68</v>
      </c>
      <c r="E36" s="8"/>
      <c r="F36" s="8"/>
      <c r="G36" s="8"/>
      <c r="H36" s="8"/>
      <c r="I36" s="8"/>
      <c r="J36" s="8"/>
      <c r="K36" s="2"/>
      <c r="L36" s="2"/>
    </row>
    <row r="37" customFormat="false" ht="15" hidden="false" customHeight="true" outlineLevel="0" collapsed="false">
      <c r="A37" s="2"/>
      <c r="B37" s="2"/>
      <c r="C37" s="27" t="s">
        <v>69</v>
      </c>
      <c r="D37" s="8" t="s">
        <v>70</v>
      </c>
      <c r="E37" s="8"/>
      <c r="F37" s="8"/>
      <c r="G37" s="8"/>
      <c r="H37" s="8"/>
      <c r="I37" s="8"/>
      <c r="J37" s="8"/>
      <c r="K37" s="2"/>
      <c r="L37" s="2"/>
    </row>
    <row r="38" customFormat="false" ht="15" hidden="false" customHeight="true" outlineLevel="0" collapsed="false">
      <c r="A38" s="2"/>
      <c r="B38" s="2"/>
      <c r="C38" s="27" t="s">
        <v>71</v>
      </c>
      <c r="D38" s="8" t="s">
        <v>72</v>
      </c>
      <c r="E38" s="8"/>
      <c r="F38" s="8"/>
      <c r="G38" s="8"/>
      <c r="H38" s="8"/>
      <c r="I38" s="8"/>
      <c r="J38" s="8"/>
      <c r="K38" s="2"/>
      <c r="L38" s="2"/>
    </row>
    <row r="39" customFormat="false" ht="15" hidden="false" customHeight="true" outlineLevel="0" collapsed="false">
      <c r="A39" s="2"/>
      <c r="B39" s="2"/>
      <c r="C39" s="27" t="s">
        <v>73</v>
      </c>
      <c r="D39" s="8" t="s">
        <v>74</v>
      </c>
      <c r="E39" s="8"/>
      <c r="F39" s="8"/>
      <c r="G39" s="8"/>
      <c r="H39" s="8"/>
      <c r="I39" s="8"/>
      <c r="J39" s="8"/>
      <c r="K39" s="2"/>
      <c r="L39" s="2"/>
    </row>
    <row r="40" customFormat="false" ht="14.2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customFormat="false" ht="14.2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customFormat="false" ht="14.2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customFormat="false" ht="14.2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customFormat="false" ht="14.2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customFormat="false" ht="14.2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customFormat="false" ht="14.2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customFormat="false" ht="14.2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customFormat="false" ht="14.2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customFormat="false" ht="14.2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customFormat="false" ht="14.2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</sheetData>
  <mergeCells count="22">
    <mergeCell ref="B2:K2"/>
    <mergeCell ref="C5:J5"/>
    <mergeCell ref="C8:J8"/>
    <mergeCell ref="C11:J11"/>
    <mergeCell ref="C14:J14"/>
    <mergeCell ref="C17:J17"/>
    <mergeCell ref="C20:J20"/>
    <mergeCell ref="B23:J23"/>
    <mergeCell ref="D24:J24"/>
    <mergeCell ref="D25:J25"/>
    <mergeCell ref="D26:J26"/>
    <mergeCell ref="D27:J27"/>
    <mergeCell ref="D28:J28"/>
    <mergeCell ref="B31:J31"/>
    <mergeCell ref="D32:J32"/>
    <mergeCell ref="D33:J33"/>
    <mergeCell ref="D34:J34"/>
    <mergeCell ref="D35:J35"/>
    <mergeCell ref="D36:J36"/>
    <mergeCell ref="D37:J37"/>
    <mergeCell ref="D38:J38"/>
    <mergeCell ref="D39:J39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490"/>
    <pageSetUpPr fitToPage="true"/>
  </sheetPr>
  <dimension ref="A1:L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5"/>
    <col collapsed="false" customWidth="true" hidden="false" outlineLevel="0" max="3" min="3" style="1" width="30.11"/>
    <col collapsed="false" customWidth="true" hidden="false" outlineLevel="0" max="4" min="4" style="1" width="23.22"/>
    <col collapsed="false" customWidth="true" hidden="false" outlineLevel="0" max="5" min="5" style="1" width="26.56"/>
    <col collapsed="false" customWidth="true" hidden="false" outlineLevel="0" max="6" min="6" style="1" width="18"/>
    <col collapsed="false" customWidth="true" hidden="false" outlineLevel="0" max="9" min="7" style="1" width="20"/>
  </cols>
  <sheetData>
    <row r="1" customFormat="false" ht="14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7.25" hidden="false" customHeight="true" outlineLevel="0" collapsed="false">
      <c r="A2" s="2"/>
      <c r="B2" s="16" t="s">
        <v>75</v>
      </c>
      <c r="C2" s="16"/>
      <c r="D2" s="16"/>
      <c r="E2" s="16"/>
      <c r="F2" s="16"/>
      <c r="G2" s="16"/>
      <c r="H2" s="16"/>
      <c r="I2" s="2"/>
      <c r="J2" s="2"/>
      <c r="K2" s="2"/>
      <c r="L2" s="2"/>
    </row>
    <row r="3" customFormat="false" ht="14.2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7.25" hidden="false" customHeight="true" outlineLevel="0" collapsed="false">
      <c r="A4" s="2"/>
      <c r="B4" s="28" t="s">
        <v>76</v>
      </c>
      <c r="C4" s="29"/>
      <c r="D4" s="29"/>
      <c r="E4" s="29"/>
      <c r="F4" s="29"/>
      <c r="G4" s="29"/>
      <c r="H4" s="29"/>
      <c r="I4" s="2"/>
      <c r="J4" s="2"/>
      <c r="K4" s="2"/>
      <c r="L4" s="2"/>
    </row>
    <row r="5" customFormat="false" ht="23.25" hidden="false" customHeight="true" outlineLevel="0" collapsed="false">
      <c r="A5" s="2"/>
      <c r="B5" s="30" t="s">
        <v>77</v>
      </c>
      <c r="C5" s="31"/>
      <c r="D5" s="32" t="s">
        <v>78</v>
      </c>
      <c r="E5" s="2"/>
      <c r="F5" s="2"/>
      <c r="G5" s="2"/>
      <c r="H5" s="2"/>
      <c r="I5" s="2"/>
      <c r="J5" s="2"/>
      <c r="K5" s="2"/>
      <c r="L5" s="2"/>
    </row>
    <row r="6" customFormat="false" ht="14.25" hidden="false" customHeight="true" outlineLevel="0" collapsed="false">
      <c r="A6" s="2"/>
      <c r="B6" s="30" t="s">
        <v>79</v>
      </c>
      <c r="C6" s="31"/>
      <c r="D6" s="32" t="s">
        <v>80</v>
      </c>
      <c r="E6" s="2"/>
      <c r="F6" s="2"/>
      <c r="G6" s="2"/>
      <c r="H6" s="2"/>
      <c r="I6" s="2"/>
      <c r="J6" s="2"/>
      <c r="K6" s="2"/>
      <c r="L6" s="2"/>
    </row>
    <row r="7" customFormat="false" ht="14.25" hidden="false" customHeight="true" outlineLevel="0" collapsed="false">
      <c r="A7" s="2"/>
      <c r="B7" s="30" t="s">
        <v>81</v>
      </c>
      <c r="C7" s="33" t="s">
        <v>82</v>
      </c>
      <c r="D7" s="32" t="s">
        <v>83</v>
      </c>
      <c r="E7" s="2"/>
      <c r="F7" s="2"/>
      <c r="G7" s="2"/>
      <c r="H7" s="2"/>
      <c r="I7" s="2"/>
      <c r="J7" s="2"/>
      <c r="K7" s="2"/>
      <c r="L7" s="2"/>
    </row>
    <row r="8" customFormat="false" ht="14.25" hidden="false" customHeight="true" outlineLevel="0" collapsed="false">
      <c r="A8" s="2"/>
      <c r="B8" s="30" t="s">
        <v>84</v>
      </c>
      <c r="C8" s="33" t="s">
        <v>85</v>
      </c>
      <c r="D8" s="32" t="s">
        <v>83</v>
      </c>
      <c r="E8" s="2"/>
      <c r="F8" s="2"/>
      <c r="G8" s="2"/>
      <c r="H8" s="2"/>
      <c r="I8" s="2"/>
      <c r="J8" s="2"/>
      <c r="K8" s="2"/>
      <c r="L8" s="2"/>
    </row>
    <row r="9" customFormat="false" ht="14.25" hidden="false" customHeight="true" outlineLevel="0" collapsed="false">
      <c r="A9" s="2"/>
      <c r="B9" s="30" t="s">
        <v>86</v>
      </c>
      <c r="C9" s="33" t="s">
        <v>87</v>
      </c>
      <c r="D9" s="32" t="s">
        <v>83</v>
      </c>
      <c r="E9" s="2"/>
      <c r="F9" s="2"/>
      <c r="G9" s="2"/>
      <c r="H9" s="2"/>
      <c r="I9" s="2"/>
      <c r="J9" s="2"/>
      <c r="K9" s="2"/>
      <c r="L9" s="2"/>
    </row>
    <row r="10" customFormat="false" ht="14.25" hidden="false" customHeight="true" outlineLevel="0" collapsed="false">
      <c r="A10" s="2"/>
      <c r="B10" s="30" t="s">
        <v>88</v>
      </c>
      <c r="C10" s="34" t="n">
        <v>12</v>
      </c>
      <c r="D10" s="32" t="s">
        <v>89</v>
      </c>
      <c r="E10" s="2"/>
      <c r="F10" s="2"/>
      <c r="G10" s="2"/>
      <c r="H10" s="2"/>
      <c r="I10" s="2"/>
      <c r="J10" s="2"/>
      <c r="K10" s="2"/>
      <c r="L10" s="2"/>
    </row>
    <row r="11" customFormat="false" ht="14.25" hidden="false" customHeight="true" outlineLevel="0" collapsed="false">
      <c r="A11" s="2"/>
      <c r="B11" s="30" t="s">
        <v>90</v>
      </c>
      <c r="C11" s="35" t="n">
        <v>0.1</v>
      </c>
      <c r="D11" s="32" t="s">
        <v>91</v>
      </c>
      <c r="E11" s="2"/>
      <c r="F11" s="2"/>
      <c r="G11" s="2"/>
      <c r="H11" s="2"/>
      <c r="I11" s="2"/>
      <c r="J11" s="2"/>
      <c r="K11" s="2"/>
      <c r="L11" s="2"/>
    </row>
    <row r="12" customFormat="false" ht="14.25" hidden="false" customHeight="tru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customFormat="false" ht="33.75" hidden="false" customHeight="true" outlineLevel="0" collapsed="false">
      <c r="A13" s="2"/>
      <c r="B13" s="28" t="s">
        <v>92</v>
      </c>
      <c r="C13" s="29"/>
      <c r="D13" s="29"/>
      <c r="E13" s="29"/>
      <c r="F13" s="29"/>
      <c r="G13" s="29"/>
      <c r="H13" s="29"/>
      <c r="I13" s="2"/>
      <c r="J13" s="2"/>
      <c r="K13" s="2"/>
      <c r="L13" s="2"/>
    </row>
    <row r="14" customFormat="false" ht="23.25" hidden="false" customHeight="true" outlineLevel="0" collapsed="false">
      <c r="A14" s="2"/>
      <c r="B14" s="30" t="s">
        <v>93</v>
      </c>
      <c r="C14" s="36" t="n">
        <v>0</v>
      </c>
      <c r="D14" s="32" t="s">
        <v>94</v>
      </c>
      <c r="E14" s="2"/>
      <c r="F14" s="2"/>
      <c r="G14" s="2"/>
      <c r="H14" s="2"/>
      <c r="I14" s="2"/>
      <c r="J14" s="2"/>
      <c r="K14" s="2"/>
      <c r="L14" s="2"/>
    </row>
    <row r="15" customFormat="false" ht="14.25" hidden="false" customHeight="true" outlineLevel="0" collapsed="false">
      <c r="A15" s="2"/>
      <c r="B15" s="30" t="s">
        <v>95</v>
      </c>
      <c r="C15" s="36" t="n">
        <v>0</v>
      </c>
      <c r="D15" s="32" t="s">
        <v>96</v>
      </c>
      <c r="E15" s="2"/>
      <c r="F15" s="2"/>
      <c r="G15" s="2"/>
      <c r="H15" s="2"/>
      <c r="I15" s="2"/>
      <c r="J15" s="2"/>
      <c r="K15" s="2"/>
      <c r="L15" s="2"/>
    </row>
    <row r="16" customFormat="false" ht="14.25" hidden="false" customHeight="true" outlineLevel="0" collapsed="false">
      <c r="A16" s="2"/>
      <c r="B16" s="30" t="s">
        <v>97</v>
      </c>
      <c r="C16" s="37" t="n">
        <v>0</v>
      </c>
      <c r="D16" s="32" t="s">
        <v>98</v>
      </c>
      <c r="E16" s="2"/>
      <c r="F16" s="2"/>
      <c r="G16" s="2"/>
      <c r="H16" s="2"/>
      <c r="I16" s="2"/>
      <c r="J16" s="2"/>
      <c r="K16" s="2"/>
      <c r="L16" s="2"/>
    </row>
    <row r="17" customFormat="false" ht="23.25" hidden="false" customHeight="true" outlineLevel="0" collapsed="false">
      <c r="A17" s="2"/>
      <c r="B17" s="30" t="s">
        <v>99</v>
      </c>
      <c r="C17" s="36" t="n">
        <v>0</v>
      </c>
      <c r="D17" s="32" t="s">
        <v>100</v>
      </c>
      <c r="E17" s="2"/>
      <c r="F17" s="2"/>
      <c r="G17" s="2"/>
      <c r="H17" s="2"/>
      <c r="I17" s="2"/>
      <c r="J17" s="2"/>
      <c r="K17" s="2"/>
      <c r="L17" s="2"/>
    </row>
    <row r="18" customFormat="false" ht="23.25" hidden="false" customHeight="true" outlineLevel="0" collapsed="false">
      <c r="A18" s="2"/>
      <c r="B18" s="30" t="s">
        <v>101</v>
      </c>
      <c r="C18" s="38" t="n">
        <v>0</v>
      </c>
      <c r="D18" s="32" t="s">
        <v>102</v>
      </c>
      <c r="E18" s="2"/>
      <c r="F18" s="2"/>
      <c r="G18" s="2"/>
      <c r="H18" s="2"/>
      <c r="I18" s="2"/>
      <c r="J18" s="2"/>
      <c r="K18" s="2"/>
      <c r="L18" s="2"/>
    </row>
    <row r="19" customFormat="false" ht="23.25" hidden="false" customHeight="true" outlineLevel="0" collapsed="false">
      <c r="A19" s="2"/>
      <c r="B19" s="30" t="s">
        <v>103</v>
      </c>
      <c r="C19" s="36" t="n">
        <v>0</v>
      </c>
      <c r="D19" s="32" t="s">
        <v>104</v>
      </c>
      <c r="E19" s="2"/>
      <c r="F19" s="2"/>
      <c r="G19" s="2"/>
      <c r="H19" s="2"/>
      <c r="I19" s="2"/>
      <c r="J19" s="2"/>
      <c r="K19" s="2"/>
      <c r="L19" s="2"/>
    </row>
    <row r="20" customFormat="false" ht="14.25" hidden="false" customHeight="tru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customFormat="false" ht="33.75" hidden="false" customHeight="true" outlineLevel="0" collapsed="false">
      <c r="A21" s="2"/>
      <c r="B21" s="28" t="s">
        <v>105</v>
      </c>
      <c r="C21" s="29"/>
      <c r="D21" s="29"/>
      <c r="E21" s="29"/>
      <c r="F21" s="29"/>
      <c r="G21" s="29"/>
      <c r="H21" s="29"/>
      <c r="I21" s="2"/>
      <c r="J21" s="2"/>
      <c r="K21" s="2"/>
      <c r="L21" s="2"/>
    </row>
    <row r="22" customFormat="false" ht="14.25" hidden="false" customHeight="true" outlineLevel="0" collapsed="false">
      <c r="A22" s="2"/>
      <c r="B22" s="30" t="s">
        <v>106</v>
      </c>
      <c r="C22" s="39" t="n">
        <f aca="false">'Project Setup'!C16</f>
        <v>0</v>
      </c>
      <c r="D22" s="2"/>
      <c r="E22" s="2"/>
      <c r="F22" s="2"/>
      <c r="G22" s="2"/>
      <c r="H22" s="2"/>
      <c r="I22" s="2"/>
      <c r="J22" s="2"/>
      <c r="K22" s="2"/>
      <c r="L22" s="2"/>
    </row>
    <row r="23" customFormat="false" ht="14.25" hidden="false" customHeight="true" outlineLevel="0" collapsed="false">
      <c r="A23" s="2"/>
      <c r="B23" s="40" t="s">
        <v>107</v>
      </c>
      <c r="C23" s="41" t="n">
        <v>28</v>
      </c>
      <c r="D23" s="2"/>
      <c r="E23" s="2"/>
      <c r="F23" s="2"/>
      <c r="G23" s="2"/>
      <c r="H23" s="2"/>
      <c r="I23" s="2"/>
      <c r="J23" s="2"/>
      <c r="K23" s="2"/>
      <c r="L23" s="2"/>
    </row>
    <row r="24" customFormat="false" ht="14.25" hidden="false" customHeight="true" outlineLevel="0" collapsed="false">
      <c r="A24" s="2"/>
      <c r="B24" s="42" t="s">
        <v>108</v>
      </c>
      <c r="C24" s="43" t="n">
        <v>38</v>
      </c>
      <c r="D24" s="2"/>
      <c r="E24" s="2"/>
      <c r="F24" s="2"/>
      <c r="G24" s="2"/>
      <c r="H24" s="2"/>
      <c r="I24" s="2"/>
      <c r="J24" s="2"/>
      <c r="K24" s="2"/>
      <c r="L24" s="2"/>
    </row>
    <row r="25" customFormat="false" ht="14.25" hidden="false" customHeight="true" outlineLevel="0" collapsed="false">
      <c r="A25" s="2"/>
      <c r="B25" s="44" t="s">
        <v>109</v>
      </c>
      <c r="C25" s="45" t="n">
        <v>52</v>
      </c>
      <c r="D25" s="2"/>
      <c r="E25" s="2"/>
      <c r="F25" s="2"/>
      <c r="G25" s="2"/>
      <c r="H25" s="2"/>
      <c r="I25" s="2"/>
      <c r="J25" s="2"/>
      <c r="K25" s="2"/>
      <c r="L25" s="2"/>
    </row>
    <row r="26" customFormat="false" ht="14.25" hidden="false" customHeight="true" outlineLevel="0" collapsed="false">
      <c r="A26" s="2"/>
      <c r="B26" s="32" t="s">
        <v>110</v>
      </c>
      <c r="C26" s="2"/>
      <c r="D26" s="2"/>
      <c r="E26" s="2"/>
      <c r="F26" s="2"/>
      <c r="G26" s="2"/>
      <c r="H26" s="2"/>
      <c r="I26" s="2"/>
      <c r="J26" s="2"/>
      <c r="K26" s="2"/>
      <c r="L26" s="2"/>
    </row>
    <row r="27" customFormat="false" ht="14.2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customFormat="false" ht="14.2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customFormat="false" ht="14.2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customFormat="false" ht="14.2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customFormat="false" ht="14.2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customFormat="false" ht="14.2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customFormat="false" ht="14.2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customFormat="false" ht="14.2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customFormat="false" ht="14.2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customFormat="false" ht="14.2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customFormat="false" ht="14.2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customFormat="false" ht="14.2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customFormat="false" ht="14.2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customFormat="false" ht="14.2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customFormat="false" ht="14.2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customFormat="false" ht="14.2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customFormat="false" ht="14.2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customFormat="false" ht="14.2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customFormat="false" ht="14.2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customFormat="false" ht="14.2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customFormat="false" ht="14.2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customFormat="false" ht="14.2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customFormat="false" ht="14.2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customFormat="false" ht="14.2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</sheetData>
  <mergeCells count="1">
    <mergeCell ref="B2:H2"/>
  </mergeCells>
  <dataValidations count="3">
    <dataValidation allowBlank="true" errorStyle="stop" operator="between" prompt="Select scope" showDropDown="false" showErrorMessage="false" showInputMessage="false" sqref="C7" type="list">
      <formula1>Dropdowns!$A$3:$A$8</formula1>
      <formula2>0</formula2>
    </dataValidation>
    <dataValidation allowBlank="true" errorStyle="stop" operator="between" showDropDown="false" showErrorMessage="false" showInputMessage="false" sqref="C8" type="list">
      <formula1>Dropdowns!$B$3:$B$10</formula1>
      <formula2>0</formula2>
    </dataValidation>
    <dataValidation allowBlank="true" errorStyle="stop" operator="between" showDropDown="false" showErrorMessage="false" showInputMessage="false" sqref="C9" type="list">
      <formula1>Dropdowns!$C$3:$C$8</formula1>
      <formula2>0</formula2>
    </dataValidation>
  </dataValidations>
  <printOptions headings="false" gridLines="false" gridLinesSet="true" horizontalCentered="tru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true"/>
  </sheetPr>
  <dimension ref="A1:L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" min="3" style="1" width="28"/>
    <col collapsed="false" customWidth="true" hidden="false" outlineLevel="0" max="6" min="4" style="1" width="18"/>
    <col collapsed="false" customWidth="true" hidden="false" outlineLevel="0" max="7" min="7" style="1" width="20"/>
  </cols>
  <sheetData>
    <row r="1" customFormat="false" ht="14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7.25" hidden="false" customHeight="true" outlineLevel="0" collapsed="false">
      <c r="A2" s="2"/>
      <c r="B2" s="16" t="s">
        <v>111</v>
      </c>
      <c r="C2" s="16"/>
      <c r="D2" s="16"/>
      <c r="E2" s="16"/>
      <c r="F2" s="16"/>
      <c r="G2" s="16"/>
      <c r="H2" s="2"/>
      <c r="I2" s="2"/>
      <c r="J2" s="2"/>
      <c r="K2" s="2"/>
      <c r="L2" s="2"/>
    </row>
    <row r="3" customFormat="false" ht="14.2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4.25" hidden="false" customHeight="true" outlineLevel="0" collapsed="false">
      <c r="A4" s="2"/>
      <c r="B4" s="46" t="s">
        <v>112</v>
      </c>
      <c r="C4" s="46" t="s">
        <v>113</v>
      </c>
      <c r="D4" s="46" t="s">
        <v>114</v>
      </c>
      <c r="E4" s="46" t="s">
        <v>115</v>
      </c>
      <c r="F4" s="46" t="s">
        <v>116</v>
      </c>
      <c r="G4" s="2"/>
      <c r="H4" s="2"/>
      <c r="I4" s="2"/>
      <c r="J4" s="2"/>
      <c r="K4" s="2"/>
      <c r="L4" s="2"/>
    </row>
    <row r="5" customFormat="false" ht="23.25" hidden="false" customHeight="true" outlineLevel="0" collapsed="false">
      <c r="A5" s="2"/>
      <c r="B5" s="30" t="s">
        <v>117</v>
      </c>
      <c r="C5" s="47" t="s">
        <v>118</v>
      </c>
      <c r="D5" s="48" t="n">
        <v>0</v>
      </c>
      <c r="E5" s="48" t="n">
        <v>0</v>
      </c>
      <c r="F5" s="49" t="n">
        <f aca="false">D5+E5*5</f>
        <v>0</v>
      </c>
      <c r="G5" s="2"/>
      <c r="H5" s="2"/>
      <c r="I5" s="2"/>
      <c r="J5" s="2"/>
      <c r="K5" s="2"/>
      <c r="L5" s="2"/>
    </row>
    <row r="6" customFormat="false" ht="23.25" hidden="false" customHeight="true" outlineLevel="0" collapsed="false">
      <c r="A6" s="2"/>
      <c r="B6" s="30" t="s">
        <v>119</v>
      </c>
      <c r="C6" s="47" t="s">
        <v>120</v>
      </c>
      <c r="D6" s="48" t="n">
        <v>0</v>
      </c>
      <c r="E6" s="48" t="n">
        <v>0</v>
      </c>
      <c r="F6" s="49" t="n">
        <f aca="false">D6+E6*5</f>
        <v>0</v>
      </c>
      <c r="G6" s="2"/>
      <c r="H6" s="2"/>
      <c r="I6" s="2"/>
      <c r="J6" s="2"/>
      <c r="K6" s="2"/>
      <c r="L6" s="2"/>
    </row>
    <row r="7" customFormat="false" ht="23.25" hidden="false" customHeight="true" outlineLevel="0" collapsed="false">
      <c r="A7" s="2"/>
      <c r="B7" s="30" t="s">
        <v>121</v>
      </c>
      <c r="C7" s="47" t="s">
        <v>122</v>
      </c>
      <c r="D7" s="48" t="n">
        <v>0</v>
      </c>
      <c r="E7" s="48" t="n">
        <v>0</v>
      </c>
      <c r="F7" s="49" t="n">
        <f aca="false">D7+E7*5</f>
        <v>0</v>
      </c>
      <c r="G7" s="2"/>
      <c r="H7" s="2"/>
      <c r="I7" s="2"/>
      <c r="J7" s="2"/>
      <c r="K7" s="2"/>
      <c r="L7" s="2"/>
    </row>
    <row r="8" customFormat="false" ht="23.25" hidden="false" customHeight="true" outlineLevel="0" collapsed="false">
      <c r="A8" s="2"/>
      <c r="B8" s="30" t="s">
        <v>123</v>
      </c>
      <c r="C8" s="47" t="s">
        <v>124</v>
      </c>
      <c r="D8" s="48" t="n">
        <v>0</v>
      </c>
      <c r="E8" s="48" t="n">
        <v>0</v>
      </c>
      <c r="F8" s="49" t="n">
        <f aca="false">D8+E8*5</f>
        <v>0</v>
      </c>
      <c r="G8" s="2"/>
      <c r="H8" s="2"/>
      <c r="I8" s="2"/>
      <c r="J8" s="2"/>
      <c r="K8" s="2"/>
      <c r="L8" s="2"/>
    </row>
    <row r="9" customFormat="false" ht="23.25" hidden="false" customHeight="true" outlineLevel="0" collapsed="false">
      <c r="A9" s="2"/>
      <c r="B9" s="30" t="s">
        <v>125</v>
      </c>
      <c r="C9" s="47" t="s">
        <v>126</v>
      </c>
      <c r="D9" s="48" t="n">
        <v>0</v>
      </c>
      <c r="E9" s="48" t="n">
        <v>0</v>
      </c>
      <c r="F9" s="49" t="n">
        <f aca="false">D9+E9*5</f>
        <v>0</v>
      </c>
      <c r="G9" s="2"/>
      <c r="H9" s="2"/>
      <c r="I9" s="2"/>
      <c r="J9" s="2"/>
      <c r="K9" s="2"/>
      <c r="L9" s="2"/>
    </row>
    <row r="10" customFormat="false" ht="23.25" hidden="false" customHeight="true" outlineLevel="0" collapsed="false">
      <c r="A10" s="2"/>
      <c r="B10" s="30" t="s">
        <v>127</v>
      </c>
      <c r="C10" s="47" t="s">
        <v>128</v>
      </c>
      <c r="D10" s="48" t="n">
        <v>0</v>
      </c>
      <c r="E10" s="48" t="n">
        <v>0</v>
      </c>
      <c r="F10" s="49" t="n">
        <f aca="false">D10+E10*5</f>
        <v>0</v>
      </c>
      <c r="G10" s="2"/>
      <c r="H10" s="2"/>
      <c r="I10" s="2"/>
      <c r="J10" s="2"/>
      <c r="K10" s="2"/>
      <c r="L10" s="2"/>
    </row>
    <row r="11" customFormat="false" ht="15" hidden="false" customHeight="true" outlineLevel="0" collapsed="false">
      <c r="A11" s="2"/>
      <c r="B11" s="50" t="s">
        <v>129</v>
      </c>
      <c r="C11" s="51"/>
      <c r="D11" s="52" t="n">
        <f aca="false">SUM(D5:D10)</f>
        <v>0</v>
      </c>
      <c r="E11" s="52" t="n">
        <f aca="false">SUM(E5:E10)</f>
        <v>0</v>
      </c>
      <c r="F11" s="52" t="n">
        <f aca="false">SUM(F5:F10)</f>
        <v>0</v>
      </c>
      <c r="G11" s="2"/>
      <c r="H11" s="2"/>
      <c r="I11" s="2"/>
      <c r="J11" s="2"/>
      <c r="K11" s="2"/>
      <c r="L11" s="2"/>
    </row>
    <row r="12" customFormat="false" ht="14.25" hidden="false" customHeight="tru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customFormat="false" ht="15" hidden="false" customHeight="true" outlineLevel="0" collapsed="false">
      <c r="A13" s="2"/>
      <c r="B13" s="18" t="s">
        <v>130</v>
      </c>
      <c r="C13" s="2"/>
      <c r="D13" s="2"/>
      <c r="E13" s="2"/>
      <c r="F13" s="2"/>
      <c r="G13" s="2"/>
      <c r="H13" s="2"/>
      <c r="I13" s="2"/>
      <c r="J13" s="2"/>
      <c r="K13" s="2"/>
      <c r="L13" s="2"/>
    </row>
    <row r="14" customFormat="false" ht="14.25" hidden="false" customHeight="true" outlineLevel="0" collapsed="false">
      <c r="A14" s="2"/>
      <c r="B14" s="53" t="s">
        <v>117</v>
      </c>
      <c r="C14" s="54" t="n">
        <f aca="false">IF(F11=0,0,F5/F11)</f>
        <v>0</v>
      </c>
      <c r="D14" s="2"/>
      <c r="E14" s="2"/>
      <c r="F14" s="2"/>
      <c r="G14" s="2"/>
      <c r="H14" s="2"/>
      <c r="I14" s="2"/>
      <c r="J14" s="2"/>
      <c r="K14" s="2"/>
      <c r="L14" s="2"/>
    </row>
    <row r="15" customFormat="false" ht="14.25" hidden="false" customHeight="true" outlineLevel="0" collapsed="false">
      <c r="A15" s="2"/>
      <c r="B15" s="53" t="s">
        <v>119</v>
      </c>
      <c r="C15" s="54" t="n">
        <f aca="false">IF(F11=0,0,F6/F11)</f>
        <v>0</v>
      </c>
      <c r="D15" s="2"/>
      <c r="E15" s="2"/>
      <c r="F15" s="2"/>
      <c r="G15" s="2"/>
      <c r="H15" s="2"/>
      <c r="I15" s="2"/>
      <c r="J15" s="2"/>
      <c r="K15" s="2"/>
      <c r="L15" s="2"/>
    </row>
    <row r="16" customFormat="false" ht="14.25" hidden="false" customHeight="true" outlineLevel="0" collapsed="false">
      <c r="A16" s="2"/>
      <c r="B16" s="53" t="s">
        <v>121</v>
      </c>
      <c r="C16" s="54" t="n">
        <f aca="false">IF(F11=0,0,F7/F11)</f>
        <v>0</v>
      </c>
      <c r="D16" s="2"/>
      <c r="E16" s="2"/>
      <c r="F16" s="2"/>
      <c r="G16" s="2"/>
      <c r="H16" s="2"/>
      <c r="I16" s="2"/>
      <c r="J16" s="2"/>
      <c r="K16" s="2"/>
      <c r="L16" s="2"/>
    </row>
    <row r="17" customFormat="false" ht="14.25" hidden="false" customHeight="true" outlineLevel="0" collapsed="false">
      <c r="A17" s="2"/>
      <c r="B17" s="53" t="s">
        <v>123</v>
      </c>
      <c r="C17" s="54" t="n">
        <f aca="false">IF(F11=0,0,F8/F11)</f>
        <v>0</v>
      </c>
      <c r="D17" s="2"/>
      <c r="E17" s="2"/>
      <c r="F17" s="2"/>
      <c r="G17" s="2"/>
      <c r="H17" s="2"/>
      <c r="I17" s="2"/>
      <c r="J17" s="2"/>
      <c r="K17" s="2"/>
      <c r="L17" s="2"/>
    </row>
    <row r="18" customFormat="false" ht="14.25" hidden="false" customHeight="true" outlineLevel="0" collapsed="false">
      <c r="A18" s="2"/>
      <c r="B18" s="53" t="s">
        <v>125</v>
      </c>
      <c r="C18" s="54" t="n">
        <f aca="false">IF(F11=0,0,F9/F11)</f>
        <v>0</v>
      </c>
      <c r="D18" s="2"/>
      <c r="E18" s="2"/>
      <c r="F18" s="2"/>
      <c r="G18" s="2"/>
      <c r="H18" s="2"/>
      <c r="I18" s="2"/>
      <c r="J18" s="2"/>
      <c r="K18" s="2"/>
      <c r="L18" s="2"/>
    </row>
    <row r="19" customFormat="false" ht="14.25" hidden="false" customHeight="true" outlineLevel="0" collapsed="false">
      <c r="A19" s="2"/>
      <c r="B19" s="53" t="s">
        <v>127</v>
      </c>
      <c r="C19" s="54" t="n">
        <f aca="false">IF(F11=0,0,F10/F11)</f>
        <v>0</v>
      </c>
      <c r="D19" s="2"/>
      <c r="E19" s="2"/>
      <c r="F19" s="2"/>
      <c r="G19" s="2"/>
      <c r="H19" s="2"/>
      <c r="I19" s="2"/>
      <c r="J19" s="2"/>
      <c r="K19" s="2"/>
      <c r="L19" s="2"/>
    </row>
    <row r="20" customFormat="false" ht="14.25" hidden="false" customHeight="tru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customFormat="false" ht="14.25" hidden="false" customHeight="tru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customFormat="false" ht="14.25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customFormat="false" ht="14.25" hidden="false" customHeight="tru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customFormat="false" ht="14.25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customFormat="false" ht="14.25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customFormat="false" ht="14.2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customFormat="false" ht="14.2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customFormat="false" ht="14.2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customFormat="false" ht="14.2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customFormat="false" ht="14.2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customFormat="false" ht="14.2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customFormat="false" ht="14.2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customFormat="false" ht="14.2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customFormat="false" ht="14.2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customFormat="false" ht="14.2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</sheetData>
  <mergeCells count="1">
    <mergeCell ref="B2:G2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true"/>
  </sheetPr>
  <dimension ref="A1:L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3" min="3" style="1" width="32"/>
    <col collapsed="false" customWidth="true" hidden="false" outlineLevel="0" max="4" min="4" style="1" width="18"/>
    <col collapsed="false" customWidth="true" hidden="false" outlineLevel="0" max="5" min="5" style="1" width="14"/>
    <col collapsed="false" customWidth="true" hidden="false" outlineLevel="0" max="6" min="6" style="1" width="10"/>
    <col collapsed="false" customWidth="true" hidden="false" outlineLevel="0" max="7" min="7" style="1" width="22"/>
  </cols>
  <sheetData>
    <row r="1" customFormat="false" ht="14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7.25" hidden="false" customHeight="true" outlineLevel="0" collapsed="false">
      <c r="A2" s="2"/>
      <c r="B2" s="16" t="s">
        <v>131</v>
      </c>
      <c r="C2" s="16"/>
      <c r="D2" s="16"/>
      <c r="E2" s="16"/>
      <c r="F2" s="16"/>
      <c r="G2" s="16"/>
      <c r="H2" s="2"/>
      <c r="I2" s="2"/>
      <c r="J2" s="2"/>
      <c r="K2" s="2"/>
      <c r="L2" s="2"/>
    </row>
    <row r="3" customFormat="false" ht="14.2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23.25" hidden="false" customHeight="true" outlineLevel="0" collapsed="false">
      <c r="A4" s="2"/>
      <c r="B4" s="46" t="s">
        <v>132</v>
      </c>
      <c r="C4" s="46" t="s">
        <v>113</v>
      </c>
      <c r="D4" s="46" t="s">
        <v>133</v>
      </c>
      <c r="E4" s="46" t="s">
        <v>134</v>
      </c>
      <c r="F4" s="46" t="s">
        <v>135</v>
      </c>
      <c r="G4" s="2"/>
      <c r="H4" s="2"/>
      <c r="I4" s="2"/>
      <c r="J4" s="2"/>
      <c r="K4" s="2"/>
      <c r="L4" s="2"/>
    </row>
    <row r="5" customFormat="false" ht="23.25" hidden="false" customHeight="true" outlineLevel="0" collapsed="false">
      <c r="A5" s="2"/>
      <c r="B5" s="30" t="s">
        <v>136</v>
      </c>
      <c r="C5" s="47" t="s">
        <v>137</v>
      </c>
      <c r="D5" s="48" t="n">
        <v>0</v>
      </c>
      <c r="E5" s="55" t="n">
        <v>6</v>
      </c>
      <c r="F5" s="56" t="s">
        <v>138</v>
      </c>
      <c r="G5" s="2"/>
      <c r="H5" s="2"/>
      <c r="I5" s="2"/>
      <c r="J5" s="2"/>
      <c r="K5" s="2"/>
      <c r="L5" s="2"/>
    </row>
    <row r="6" customFormat="false" ht="23.25" hidden="false" customHeight="true" outlineLevel="0" collapsed="false">
      <c r="A6" s="2"/>
      <c r="B6" s="30" t="s">
        <v>139</v>
      </c>
      <c r="C6" s="47" t="s">
        <v>140</v>
      </c>
      <c r="D6" s="48" t="n">
        <v>0</v>
      </c>
      <c r="E6" s="55" t="n">
        <v>9</v>
      </c>
      <c r="F6" s="56" t="s">
        <v>141</v>
      </c>
      <c r="G6" s="2"/>
      <c r="H6" s="2"/>
      <c r="I6" s="2"/>
      <c r="J6" s="2"/>
      <c r="K6" s="2"/>
      <c r="L6" s="2"/>
    </row>
    <row r="7" customFormat="false" ht="23.25" hidden="false" customHeight="true" outlineLevel="0" collapsed="false">
      <c r="A7" s="2"/>
      <c r="B7" s="30" t="s">
        <v>142</v>
      </c>
      <c r="C7" s="47" t="s">
        <v>143</v>
      </c>
      <c r="D7" s="48" t="n">
        <v>0</v>
      </c>
      <c r="E7" s="55" t="n">
        <v>3</v>
      </c>
      <c r="F7" s="56" t="s">
        <v>138</v>
      </c>
      <c r="G7" s="2"/>
      <c r="H7" s="2"/>
      <c r="I7" s="2"/>
      <c r="J7" s="2"/>
      <c r="K7" s="2"/>
      <c r="L7" s="2"/>
    </row>
    <row r="8" customFormat="false" ht="23.25" hidden="false" customHeight="true" outlineLevel="0" collapsed="false">
      <c r="A8" s="2"/>
      <c r="B8" s="30" t="s">
        <v>144</v>
      </c>
      <c r="C8" s="47" t="s">
        <v>145</v>
      </c>
      <c r="D8" s="48" t="n">
        <v>0</v>
      </c>
      <c r="E8" s="55" t="n">
        <v>6</v>
      </c>
      <c r="F8" s="56" t="s">
        <v>138</v>
      </c>
      <c r="G8" s="2"/>
      <c r="H8" s="2"/>
      <c r="I8" s="2"/>
      <c r="J8" s="2"/>
      <c r="K8" s="2"/>
      <c r="L8" s="2"/>
    </row>
    <row r="9" customFormat="false" ht="23.25" hidden="false" customHeight="true" outlineLevel="0" collapsed="false">
      <c r="A9" s="2"/>
      <c r="B9" s="30" t="s">
        <v>146</v>
      </c>
      <c r="C9" s="47" t="s">
        <v>147</v>
      </c>
      <c r="D9" s="48" t="n">
        <v>0</v>
      </c>
      <c r="E9" s="55" t="n">
        <v>3</v>
      </c>
      <c r="F9" s="56" t="s">
        <v>138</v>
      </c>
      <c r="G9" s="2"/>
      <c r="H9" s="2"/>
      <c r="I9" s="2"/>
      <c r="J9" s="2"/>
      <c r="K9" s="2"/>
      <c r="L9" s="2"/>
    </row>
    <row r="10" customFormat="false" ht="23.25" hidden="false" customHeight="true" outlineLevel="0" collapsed="false">
      <c r="A10" s="2"/>
      <c r="B10" s="30" t="s">
        <v>148</v>
      </c>
      <c r="C10" s="47" t="s">
        <v>149</v>
      </c>
      <c r="D10" s="48" t="n">
        <v>0</v>
      </c>
      <c r="E10" s="55" t="n">
        <v>12</v>
      </c>
      <c r="F10" s="56" t="s">
        <v>138</v>
      </c>
      <c r="G10" s="2"/>
      <c r="H10" s="2"/>
      <c r="I10" s="2"/>
      <c r="J10" s="2"/>
      <c r="K10" s="2"/>
      <c r="L10" s="2"/>
    </row>
    <row r="11" customFormat="false" ht="14.25" hidden="false" customHeight="tru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customFormat="false" ht="33.75" hidden="false" customHeight="true" outlineLevel="0" collapsed="false">
      <c r="A12" s="2"/>
      <c r="B12" s="28" t="s">
        <v>150</v>
      </c>
      <c r="C12" s="29"/>
      <c r="D12" s="29"/>
      <c r="E12" s="29"/>
      <c r="F12" s="29"/>
      <c r="G12" s="29"/>
      <c r="H12" s="2"/>
      <c r="I12" s="2"/>
      <c r="J12" s="2"/>
      <c r="K12" s="2"/>
      <c r="L12" s="2"/>
    </row>
    <row r="13" customFormat="false" ht="14.25" hidden="false" customHeight="true" outlineLevel="0" collapsed="false">
      <c r="A13" s="2"/>
      <c r="B13" s="30" t="s">
        <v>151</v>
      </c>
      <c r="C13" s="57" t="n">
        <f aca="false">D6</f>
        <v>0</v>
      </c>
      <c r="D13" s="2"/>
      <c r="E13" s="2"/>
      <c r="F13" s="2"/>
      <c r="G13" s="2"/>
      <c r="H13" s="2"/>
      <c r="I13" s="2"/>
      <c r="J13" s="2"/>
      <c r="K13" s="2"/>
      <c r="L13" s="2"/>
    </row>
    <row r="14" customFormat="false" ht="27.75" hidden="false" customHeight="true" outlineLevel="0" collapsed="false">
      <c r="A14" s="2"/>
      <c r="B14" s="30" t="s">
        <v>152</v>
      </c>
      <c r="C14" s="58" t="n">
        <f aca="false">'Project Setup'!C14</f>
        <v>0</v>
      </c>
      <c r="D14" s="2"/>
      <c r="E14" s="2"/>
      <c r="F14" s="2"/>
      <c r="G14" s="2"/>
      <c r="H14" s="2"/>
      <c r="I14" s="2"/>
      <c r="J14" s="2"/>
      <c r="K14" s="2"/>
      <c r="L14" s="2"/>
    </row>
    <row r="15" customFormat="false" ht="29.25" hidden="false" customHeight="true" outlineLevel="0" collapsed="false">
      <c r="A15" s="2"/>
      <c r="B15" s="59" t="s">
        <v>153</v>
      </c>
      <c r="C15" s="60" t="n">
        <f aca="false">D6*'Project Setup'!C14/365</f>
        <v>0</v>
      </c>
      <c r="D15" s="2"/>
      <c r="E15" s="2"/>
      <c r="F15" s="2"/>
      <c r="G15" s="2"/>
      <c r="H15" s="2"/>
      <c r="I15" s="2"/>
      <c r="J15" s="2"/>
      <c r="K15" s="2"/>
      <c r="L15" s="2"/>
    </row>
    <row r="16" customFormat="false" ht="23.25" hidden="false" customHeight="true" outlineLevel="0" collapsed="false">
      <c r="A16" s="2"/>
      <c r="B16" s="32" t="s">
        <v>154</v>
      </c>
      <c r="C16" s="2"/>
      <c r="D16" s="2"/>
      <c r="E16" s="2"/>
      <c r="F16" s="2"/>
      <c r="G16" s="2"/>
      <c r="H16" s="2"/>
      <c r="I16" s="2"/>
      <c r="J16" s="2"/>
      <c r="K16" s="2"/>
      <c r="L16" s="2"/>
    </row>
    <row r="17" customFormat="false" ht="14.25" hidden="false" customHeight="tru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customFormat="false" ht="29.25" hidden="false" customHeight="true" outlineLevel="0" collapsed="false">
      <c r="A18" s="2"/>
      <c r="B18" s="50" t="s">
        <v>155</v>
      </c>
      <c r="C18" s="61" t="n">
        <f aca="false">D5+C15+D7+D8+D9+D10</f>
        <v>0</v>
      </c>
      <c r="D18" s="2"/>
      <c r="E18" s="2"/>
      <c r="F18" s="2"/>
      <c r="G18" s="2"/>
      <c r="H18" s="2"/>
      <c r="I18" s="2"/>
      <c r="J18" s="2"/>
      <c r="K18" s="2"/>
      <c r="L18" s="2"/>
    </row>
    <row r="19" customFormat="false" ht="14.25" hidden="false" customHeight="tru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customFormat="false" ht="15" hidden="false" customHeight="true" outlineLevel="0" collapsed="false">
      <c r="A20" s="2"/>
      <c r="B20" s="18" t="s">
        <v>156</v>
      </c>
      <c r="C20" s="2"/>
      <c r="D20" s="2"/>
      <c r="E20" s="2"/>
      <c r="F20" s="2"/>
      <c r="G20" s="2"/>
      <c r="H20" s="2"/>
      <c r="I20" s="2"/>
      <c r="J20" s="2"/>
      <c r="K20" s="2"/>
      <c r="L20" s="2"/>
    </row>
    <row r="21" customFormat="false" ht="14.25" hidden="false" customHeight="true" outlineLevel="0" collapsed="false">
      <c r="A21" s="2"/>
      <c r="B21" s="62" t="s">
        <v>157</v>
      </c>
      <c r="C21" s="63" t="n">
        <f aca="false">D5</f>
        <v>0</v>
      </c>
      <c r="D21" s="54" t="n">
        <f aca="false">IF(C18=0,0,C21/C18)</f>
        <v>0</v>
      </c>
      <c r="E21" s="2"/>
      <c r="F21" s="2"/>
      <c r="G21" s="2"/>
      <c r="H21" s="2"/>
      <c r="I21" s="2"/>
      <c r="J21" s="2"/>
      <c r="K21" s="2"/>
      <c r="L21" s="2"/>
    </row>
    <row r="22" customFormat="false" ht="14.25" hidden="false" customHeight="true" outlineLevel="0" collapsed="false">
      <c r="A22" s="2"/>
      <c r="B22" s="62" t="s">
        <v>158</v>
      </c>
      <c r="C22" s="63" t="n">
        <f aca="false">C15</f>
        <v>0</v>
      </c>
      <c r="D22" s="54" t="n">
        <f aca="false">IF(C18=0,0,C22/C18)</f>
        <v>0</v>
      </c>
      <c r="E22" s="2"/>
      <c r="F22" s="2"/>
      <c r="G22" s="2"/>
      <c r="H22" s="2"/>
      <c r="I22" s="2"/>
      <c r="J22" s="2"/>
      <c r="K22" s="2"/>
      <c r="L22" s="2"/>
    </row>
    <row r="23" customFormat="false" ht="14.25" hidden="false" customHeight="true" outlineLevel="0" collapsed="false">
      <c r="A23" s="2"/>
      <c r="B23" s="62" t="s">
        <v>142</v>
      </c>
      <c r="C23" s="63" t="n">
        <f aca="false">D7</f>
        <v>0</v>
      </c>
      <c r="D23" s="54" t="n">
        <f aca="false">IF(C18=0,0,C23/C18)</f>
        <v>0</v>
      </c>
      <c r="E23" s="2"/>
      <c r="F23" s="2"/>
      <c r="G23" s="2"/>
      <c r="H23" s="2"/>
      <c r="I23" s="2"/>
      <c r="J23" s="2"/>
      <c r="K23" s="2"/>
      <c r="L23" s="2"/>
    </row>
    <row r="24" customFormat="false" ht="14.25" hidden="false" customHeight="true" outlineLevel="0" collapsed="false">
      <c r="A24" s="2"/>
      <c r="B24" s="62" t="s">
        <v>144</v>
      </c>
      <c r="C24" s="63" t="n">
        <f aca="false">D8</f>
        <v>0</v>
      </c>
      <c r="D24" s="54" t="n">
        <f aca="false">IF(C18=0,0,C24/C18)</f>
        <v>0</v>
      </c>
      <c r="E24" s="2"/>
      <c r="F24" s="2"/>
      <c r="G24" s="2"/>
      <c r="H24" s="2"/>
      <c r="I24" s="2"/>
      <c r="J24" s="2"/>
      <c r="K24" s="2"/>
      <c r="L24" s="2"/>
    </row>
    <row r="25" customFormat="false" ht="14.25" hidden="false" customHeight="true" outlineLevel="0" collapsed="false">
      <c r="A25" s="2"/>
      <c r="B25" s="62" t="s">
        <v>146</v>
      </c>
      <c r="C25" s="63" t="n">
        <f aca="false">D9</f>
        <v>0</v>
      </c>
      <c r="D25" s="54" t="n">
        <f aca="false">IF(C18=0,0,C25/C18)</f>
        <v>0</v>
      </c>
      <c r="E25" s="2"/>
      <c r="F25" s="2"/>
      <c r="G25" s="2"/>
      <c r="H25" s="2"/>
      <c r="I25" s="2"/>
      <c r="J25" s="2"/>
      <c r="K25" s="2"/>
      <c r="L25" s="2"/>
    </row>
    <row r="26" customFormat="false" ht="14.25" hidden="false" customHeight="true" outlineLevel="0" collapsed="false">
      <c r="A26" s="2"/>
      <c r="B26" s="62" t="s">
        <v>148</v>
      </c>
      <c r="C26" s="63" t="n">
        <f aca="false">D10</f>
        <v>0</v>
      </c>
      <c r="D26" s="54" t="n">
        <f aca="false">IF(C18=0,0,C26/C18)</f>
        <v>0</v>
      </c>
      <c r="E26" s="2"/>
      <c r="F26" s="2"/>
      <c r="G26" s="2"/>
      <c r="H26" s="2"/>
      <c r="I26" s="2"/>
      <c r="J26" s="2"/>
      <c r="K26" s="2"/>
      <c r="L26" s="2"/>
    </row>
    <row r="27" customFormat="false" ht="14.2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customFormat="false" ht="14.2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customFormat="false" ht="14.2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customFormat="false" ht="14.2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customFormat="false" ht="14.2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customFormat="false" ht="14.2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customFormat="false" ht="14.2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customFormat="false" ht="14.2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customFormat="false" ht="14.2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customFormat="false" ht="14.2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customFormat="false" ht="14.2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customFormat="false" ht="14.2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customFormat="false" ht="14.2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customFormat="false" ht="14.2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</sheetData>
  <mergeCells count="1">
    <mergeCell ref="B2:G2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true"/>
  </sheetPr>
  <dimension ref="A1:L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6" min="3" style="1" width="20"/>
  </cols>
  <sheetData>
    <row r="1" customFormat="false" ht="14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7.25" hidden="false" customHeight="true" outlineLevel="0" collapsed="false">
      <c r="A2" s="2"/>
      <c r="B2" s="16" t="s">
        <v>159</v>
      </c>
      <c r="C2" s="16"/>
      <c r="D2" s="16"/>
      <c r="E2" s="16"/>
      <c r="F2" s="16"/>
      <c r="G2" s="2"/>
      <c r="H2" s="2"/>
      <c r="I2" s="2"/>
      <c r="J2" s="2"/>
      <c r="K2" s="2"/>
      <c r="L2" s="2"/>
    </row>
    <row r="3" customFormat="false" ht="14.2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4.25" hidden="false" customHeight="true" outlineLevel="0" collapsed="false">
      <c r="A4" s="2"/>
      <c r="B4" s="46" t="s">
        <v>160</v>
      </c>
      <c r="C4" s="46" t="s">
        <v>161</v>
      </c>
      <c r="D4" s="46" t="s">
        <v>162</v>
      </c>
      <c r="E4" s="46" t="s">
        <v>163</v>
      </c>
      <c r="F4" s="2"/>
      <c r="G4" s="2"/>
      <c r="H4" s="2"/>
      <c r="I4" s="2"/>
      <c r="J4" s="2"/>
      <c r="K4" s="2"/>
      <c r="L4" s="2"/>
    </row>
    <row r="5" customFormat="false" ht="14.25" hidden="false" customHeight="true" outlineLevel="0" collapsed="false">
      <c r="A5" s="2"/>
      <c r="B5" s="30" t="s">
        <v>164</v>
      </c>
      <c r="C5" s="64" t="n">
        <v>0.7</v>
      </c>
      <c r="D5" s="64" t="n">
        <v>1</v>
      </c>
      <c r="E5" s="64" t="n">
        <v>1.3</v>
      </c>
      <c r="F5" s="2"/>
      <c r="G5" s="2"/>
      <c r="H5" s="2"/>
      <c r="I5" s="2"/>
      <c r="J5" s="2"/>
      <c r="K5" s="2"/>
      <c r="L5" s="2"/>
    </row>
    <row r="6" customFormat="false" ht="14.25" hidden="false" customHeight="true" outlineLevel="0" collapsed="false">
      <c r="A6" s="2"/>
      <c r="B6" s="30" t="s">
        <v>165</v>
      </c>
      <c r="C6" s="64" t="n">
        <v>1.2</v>
      </c>
      <c r="D6" s="64" t="n">
        <v>1</v>
      </c>
      <c r="E6" s="64" t="n">
        <v>0.9</v>
      </c>
      <c r="F6" s="2"/>
      <c r="G6" s="2"/>
      <c r="H6" s="2"/>
      <c r="I6" s="2"/>
      <c r="J6" s="2"/>
      <c r="K6" s="2"/>
      <c r="L6" s="2"/>
    </row>
    <row r="7" customFormat="false" ht="14.25" hidden="false" customHeight="tru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customFormat="false" ht="27.75" hidden="false" customHeight="true" outlineLevel="0" collapsed="false">
      <c r="A8" s="2"/>
      <c r="B8" s="65" t="s">
        <v>166</v>
      </c>
      <c r="C8" s="66" t="n">
        <f aca="false">Benefits!C18*C5</f>
        <v>0</v>
      </c>
      <c r="D8" s="66" t="n">
        <f aca="false">Benefits!C18*D5</f>
        <v>0</v>
      </c>
      <c r="E8" s="66" t="n">
        <f aca="false">Benefits!C18*E5</f>
        <v>0</v>
      </c>
      <c r="F8" s="2"/>
      <c r="G8" s="2"/>
      <c r="H8" s="2"/>
      <c r="I8" s="2"/>
      <c r="J8" s="2"/>
      <c r="K8" s="2"/>
      <c r="L8" s="2"/>
    </row>
    <row r="9" customFormat="false" ht="27.75" hidden="false" customHeight="true" outlineLevel="0" collapsed="false">
      <c r="A9" s="2"/>
      <c r="B9" s="65" t="s">
        <v>167</v>
      </c>
      <c r="C9" s="67" t="n">
        <f aca="false">'Cost Model'!D11*C6</f>
        <v>0</v>
      </c>
      <c r="D9" s="67" t="n">
        <f aca="false">'Cost Model'!D11*D6</f>
        <v>0</v>
      </c>
      <c r="E9" s="67" t="n">
        <f aca="false">'Cost Model'!D11*E6</f>
        <v>0</v>
      </c>
      <c r="F9" s="2"/>
      <c r="G9" s="2"/>
      <c r="H9" s="2"/>
      <c r="I9" s="2"/>
      <c r="J9" s="2"/>
      <c r="K9" s="2"/>
      <c r="L9" s="2"/>
    </row>
    <row r="10" customFormat="false" ht="27.75" hidden="false" customHeight="true" outlineLevel="0" collapsed="false">
      <c r="A10" s="2"/>
      <c r="B10" s="65" t="s">
        <v>168</v>
      </c>
      <c r="C10" s="67" t="n">
        <f aca="false">'Cost Model'!E11*C6</f>
        <v>0</v>
      </c>
      <c r="D10" s="67" t="n">
        <f aca="false">'Cost Model'!E11*D6</f>
        <v>0</v>
      </c>
      <c r="E10" s="67" t="n">
        <f aca="false">'Cost Model'!E11*E6</f>
        <v>0</v>
      </c>
      <c r="F10" s="2"/>
      <c r="G10" s="2"/>
      <c r="H10" s="2"/>
      <c r="I10" s="2"/>
      <c r="J10" s="2"/>
      <c r="K10" s="2"/>
      <c r="L10" s="2"/>
    </row>
    <row r="11" customFormat="false" ht="14.25" hidden="false" customHeight="tru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customFormat="false" ht="33.75" hidden="false" customHeight="true" outlineLevel="0" collapsed="false">
      <c r="A12" s="2"/>
      <c r="B12" s="28" t="s">
        <v>169</v>
      </c>
      <c r="C12" s="29"/>
      <c r="D12" s="29"/>
      <c r="E12" s="29"/>
      <c r="F12" s="29"/>
      <c r="G12" s="2"/>
      <c r="H12" s="2"/>
      <c r="I12" s="2"/>
      <c r="J12" s="2"/>
      <c r="K12" s="2"/>
      <c r="L12" s="2"/>
    </row>
    <row r="13" customFormat="false" ht="27.75" hidden="false" customHeight="true" outlineLevel="0" collapsed="false">
      <c r="A13" s="2"/>
      <c r="B13" s="30" t="s">
        <v>170</v>
      </c>
      <c r="C13" s="68" t="n">
        <f aca="false">C8-C10</f>
        <v>0</v>
      </c>
      <c r="D13" s="68" t="n">
        <f aca="false">D8-D10</f>
        <v>0</v>
      </c>
      <c r="E13" s="68" t="n">
        <f aca="false">E8-E10</f>
        <v>0</v>
      </c>
      <c r="F13" s="2"/>
      <c r="G13" s="2"/>
      <c r="H13" s="2"/>
      <c r="I13" s="2"/>
      <c r="J13" s="2"/>
      <c r="K13" s="2"/>
      <c r="L13" s="2"/>
    </row>
    <row r="14" customFormat="false" ht="14.25" hidden="false" customHeight="true" outlineLevel="0" collapsed="false">
      <c r="A14" s="2"/>
      <c r="B14" s="30" t="s">
        <v>171</v>
      </c>
      <c r="C14" s="63" t="n">
        <f aca="false">C8*0.5+C8*4</f>
        <v>0</v>
      </c>
      <c r="D14" s="63" t="n">
        <f aca="false">D8*0.5+D8*4</f>
        <v>0</v>
      </c>
      <c r="E14" s="63" t="n">
        <f aca="false">E8*0.5+E8*4</f>
        <v>0</v>
      </c>
      <c r="F14" s="2"/>
      <c r="G14" s="2"/>
      <c r="H14" s="2"/>
      <c r="I14" s="2"/>
      <c r="J14" s="2"/>
      <c r="K14" s="2"/>
      <c r="L14" s="2"/>
    </row>
    <row r="15" customFormat="false" ht="14.25" hidden="false" customHeight="true" outlineLevel="0" collapsed="false">
      <c r="A15" s="2"/>
      <c r="B15" s="30" t="s">
        <v>172</v>
      </c>
      <c r="C15" s="69" t="n">
        <f aca="false">C9+C10*5</f>
        <v>0</v>
      </c>
      <c r="D15" s="69" t="n">
        <f aca="false">D9+D10*5</f>
        <v>0</v>
      </c>
      <c r="E15" s="69" t="n">
        <f aca="false">E9+E10*5</f>
        <v>0</v>
      </c>
      <c r="F15" s="2"/>
      <c r="G15" s="2"/>
      <c r="H15" s="2"/>
      <c r="I15" s="2"/>
      <c r="J15" s="2"/>
      <c r="K15" s="2"/>
      <c r="L15" s="2"/>
    </row>
    <row r="16" customFormat="false" ht="15" hidden="false" customHeight="true" outlineLevel="0" collapsed="false">
      <c r="A16" s="2"/>
      <c r="B16" s="65" t="s">
        <v>173</v>
      </c>
      <c r="C16" s="70" t="n">
        <f aca="false">C14-C15</f>
        <v>0</v>
      </c>
      <c r="D16" s="70" t="n">
        <f aca="false">D14-D15</f>
        <v>0</v>
      </c>
      <c r="E16" s="70" t="n">
        <f aca="false">E14-E15</f>
        <v>0</v>
      </c>
      <c r="F16" s="2"/>
      <c r="G16" s="2"/>
      <c r="H16" s="2"/>
      <c r="I16" s="2"/>
      <c r="J16" s="2"/>
      <c r="K16" s="2"/>
      <c r="L16" s="2"/>
    </row>
    <row r="17" customFormat="false" ht="14.25" hidden="false" customHeight="true" outlineLevel="0" collapsed="false">
      <c r="A17" s="2"/>
      <c r="B17" s="30" t="s">
        <v>174</v>
      </c>
      <c r="C17" s="71" t="str">
        <f aca="false">IF(C13&lt;=0,"N/A",C9/C13)</f>
        <v>N/A</v>
      </c>
      <c r="D17" s="71" t="str">
        <f aca="false">IF(D13&lt;=0,"N/A",D9/D13)</f>
        <v>N/A</v>
      </c>
      <c r="E17" s="71" t="str">
        <f aca="false">IF(E13&lt;=0,"N/A",E9/E13)</f>
        <v>N/A</v>
      </c>
      <c r="F17" s="2"/>
      <c r="G17" s="2"/>
      <c r="H17" s="2"/>
      <c r="I17" s="2"/>
      <c r="J17" s="2"/>
      <c r="K17" s="2"/>
      <c r="L17" s="2"/>
    </row>
    <row r="18" customFormat="false" ht="15" hidden="false" customHeight="true" outlineLevel="0" collapsed="false">
      <c r="A18" s="2"/>
      <c r="B18" s="65" t="s">
        <v>175</v>
      </c>
      <c r="C18" s="72" t="n">
        <f aca="false">IF(C15=0,0,(C14-C15)/C15)</f>
        <v>0</v>
      </c>
      <c r="D18" s="72" t="n">
        <f aca="false">IF(D15=0,0,(D14-D15)/D15)</f>
        <v>0</v>
      </c>
      <c r="E18" s="72" t="n">
        <f aca="false">IF(E15=0,0,(E14-E15)/E15)</f>
        <v>0</v>
      </c>
      <c r="F18" s="2"/>
      <c r="G18" s="2"/>
      <c r="H18" s="2"/>
      <c r="I18" s="2"/>
      <c r="J18" s="2"/>
      <c r="K18" s="2"/>
      <c r="L18" s="2"/>
    </row>
    <row r="19" customFormat="false" ht="14.25" hidden="false" customHeight="tru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customFormat="false" ht="14.25" hidden="false" customHeight="tru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customFormat="false" ht="14.25" hidden="false" customHeight="tru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customFormat="false" ht="14.25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customFormat="false" ht="14.25" hidden="false" customHeight="tru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customFormat="false" ht="14.25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customFormat="false" ht="14.25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customFormat="false" ht="14.2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customFormat="false" ht="14.2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customFormat="false" ht="14.2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customFormat="false" ht="14.2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customFormat="false" ht="14.2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customFormat="false" ht="14.2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customFormat="false" ht="14.2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customFormat="false" ht="14.2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customFormat="false" ht="14.2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customFormat="false" ht="14.2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customFormat="false" ht="14.2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customFormat="false" ht="14.2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customFormat="false" ht="14.2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customFormat="false" ht="14.2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customFormat="false" ht="14.2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customFormat="false" ht="14.2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customFormat="false" ht="14.2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customFormat="false" ht="14.2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customFormat="false" ht="14.2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customFormat="false" ht="14.2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</sheetData>
  <mergeCells count="1">
    <mergeCell ref="B2:F2"/>
  </mergeCells>
  <conditionalFormatting sqref="C18:E18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printOptions headings="false" gridLines="false" gridLinesSet="true" horizontalCentered="tru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true"/>
  </sheetPr>
  <dimension ref="A1:L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4"/>
    <col collapsed="false" customWidth="true" hidden="false" outlineLevel="0" max="6" min="3" style="1" width="18"/>
    <col collapsed="false" customWidth="true" hidden="false" outlineLevel="0" max="7" min="7" style="1" width="12"/>
    <col collapsed="false" customWidth="true" hidden="false" outlineLevel="0" max="8" min="8" style="1" width="18"/>
  </cols>
  <sheetData>
    <row r="1" customFormat="false" ht="14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7.25" hidden="false" customHeight="true" outlineLevel="0" collapsed="false">
      <c r="A2" s="2"/>
      <c r="B2" s="16" t="s">
        <v>176</v>
      </c>
      <c r="C2" s="16"/>
      <c r="D2" s="16"/>
      <c r="E2" s="16"/>
      <c r="F2" s="16"/>
      <c r="G2" s="16"/>
      <c r="H2" s="16"/>
      <c r="I2" s="2"/>
      <c r="J2" s="2"/>
      <c r="K2" s="2"/>
      <c r="L2" s="2"/>
    </row>
    <row r="3" customFormat="false" ht="14.2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50.25" hidden="false" customHeight="true" outlineLevel="0" collapsed="false">
      <c r="A4" s="2"/>
      <c r="B4" s="28" t="s">
        <v>177</v>
      </c>
      <c r="C4" s="29"/>
      <c r="D4" s="29"/>
      <c r="E4" s="29"/>
      <c r="F4" s="29"/>
      <c r="G4" s="29"/>
      <c r="H4" s="29"/>
      <c r="I4" s="2"/>
      <c r="J4" s="2"/>
      <c r="K4" s="2"/>
      <c r="L4" s="2"/>
    </row>
    <row r="5" customFormat="false" ht="15" hidden="false" customHeight="true" outlineLevel="0" collapsed="false">
      <c r="A5" s="2"/>
      <c r="B5" s="73" t="s">
        <v>178</v>
      </c>
      <c r="C5" s="73"/>
      <c r="D5" s="73" t="s">
        <v>179</v>
      </c>
      <c r="E5" s="73"/>
      <c r="F5" s="73" t="s">
        <v>180</v>
      </c>
      <c r="G5" s="73"/>
      <c r="H5" s="73" t="s">
        <v>175</v>
      </c>
      <c r="I5" s="73"/>
      <c r="J5" s="2"/>
      <c r="K5" s="2"/>
      <c r="L5" s="2"/>
    </row>
    <row r="6" customFormat="false" ht="21.75" hidden="false" customHeight="true" outlineLevel="0" collapsed="false">
      <c r="A6" s="2"/>
      <c r="B6" s="74" t="n">
        <f aca="false">Calculations!B3</f>
        <v>0</v>
      </c>
      <c r="C6" s="74"/>
      <c r="D6" s="75" t="n">
        <f aca="false">Calculations!B4</f>
        <v>0</v>
      </c>
      <c r="E6" s="75"/>
      <c r="F6" s="76" t="str">
        <f aca="false">Scenarios!D17</f>
        <v>N/A</v>
      </c>
      <c r="G6" s="76"/>
      <c r="H6" s="77" t="n">
        <f aca="false">Scenarios!D18</f>
        <v>0</v>
      </c>
      <c r="I6" s="77"/>
      <c r="J6" s="2"/>
      <c r="K6" s="2"/>
      <c r="L6" s="2"/>
    </row>
    <row r="7" customFormat="false" ht="14.25" hidden="false" customHeight="tru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customFormat="false" ht="66.75" hidden="false" customHeight="true" outlineLevel="0" collapsed="false">
      <c r="A8" s="2"/>
      <c r="B8" s="28" t="s">
        <v>181</v>
      </c>
      <c r="C8" s="29"/>
      <c r="D8" s="29"/>
      <c r="E8" s="29"/>
      <c r="F8" s="29"/>
      <c r="G8" s="29"/>
      <c r="H8" s="29"/>
      <c r="I8" s="2"/>
      <c r="J8" s="2"/>
      <c r="K8" s="2"/>
      <c r="L8" s="2"/>
    </row>
    <row r="9" customFormat="false" ht="14.25" hidden="false" customHeight="true" outlineLevel="0" collapsed="false">
      <c r="A9" s="2"/>
      <c r="B9" s="46" t="s">
        <v>182</v>
      </c>
      <c r="C9" s="46" t="s">
        <v>183</v>
      </c>
      <c r="D9" s="46" t="s">
        <v>184</v>
      </c>
      <c r="E9" s="46" t="s">
        <v>185</v>
      </c>
      <c r="F9" s="46" t="s">
        <v>186</v>
      </c>
      <c r="G9" s="46" t="s">
        <v>187</v>
      </c>
      <c r="H9" s="2"/>
      <c r="I9" s="2"/>
      <c r="J9" s="2"/>
      <c r="K9" s="2"/>
      <c r="L9" s="2"/>
    </row>
    <row r="10" customFormat="false" ht="27.75" hidden="false" customHeight="true" outlineLevel="0" collapsed="false">
      <c r="A10" s="2"/>
      <c r="B10" s="30" t="s">
        <v>188</v>
      </c>
      <c r="C10" s="78" t="s">
        <v>189</v>
      </c>
      <c r="D10" s="69" t="n">
        <f aca="false">Scenarios!D9</f>
        <v>0</v>
      </c>
      <c r="E10" s="79" t="n">
        <f aca="false">-D10</f>
        <v>-0</v>
      </c>
      <c r="F10" s="79" t="n">
        <f aca="false">E10</f>
        <v>-0</v>
      </c>
      <c r="G10" s="2"/>
      <c r="H10" s="2"/>
      <c r="I10" s="2"/>
      <c r="J10" s="2"/>
      <c r="K10" s="2"/>
      <c r="L10" s="2"/>
    </row>
    <row r="11" customFormat="false" ht="14.25" hidden="false" customHeight="true" outlineLevel="0" collapsed="false">
      <c r="A11" s="2"/>
      <c r="B11" s="30" t="s">
        <v>190</v>
      </c>
      <c r="C11" s="63" t="n">
        <f aca="false">Scenarios!D8*0.5</f>
        <v>0</v>
      </c>
      <c r="D11" s="69" t="n">
        <f aca="false">Scenarios!D10</f>
        <v>0</v>
      </c>
      <c r="E11" s="80" t="n">
        <f aca="false">C11-D11</f>
        <v>0</v>
      </c>
      <c r="F11" s="80" t="n">
        <f aca="false">F10+E11</f>
        <v>0</v>
      </c>
      <c r="G11" s="2"/>
      <c r="H11" s="2"/>
      <c r="I11" s="2"/>
      <c r="J11" s="2"/>
      <c r="K11" s="2"/>
      <c r="L11" s="2"/>
    </row>
    <row r="12" customFormat="false" ht="14.25" hidden="false" customHeight="true" outlineLevel="0" collapsed="false">
      <c r="A12" s="2"/>
      <c r="B12" s="30" t="s">
        <v>191</v>
      </c>
      <c r="C12" s="63" t="n">
        <f aca="false">Scenarios!D8</f>
        <v>0</v>
      </c>
      <c r="D12" s="69" t="n">
        <f aca="false">Scenarios!D10</f>
        <v>0</v>
      </c>
      <c r="E12" s="80" t="n">
        <f aca="false">C12-D12</f>
        <v>0</v>
      </c>
      <c r="F12" s="80" t="n">
        <f aca="false">F11+E12</f>
        <v>0</v>
      </c>
      <c r="G12" s="2"/>
      <c r="H12" s="2"/>
      <c r="I12" s="2"/>
      <c r="J12" s="2"/>
      <c r="K12" s="2"/>
      <c r="L12" s="2"/>
    </row>
    <row r="13" customFormat="false" ht="14.25" hidden="false" customHeight="true" outlineLevel="0" collapsed="false">
      <c r="A13" s="2"/>
      <c r="B13" s="30" t="s">
        <v>192</v>
      </c>
      <c r="C13" s="63" t="n">
        <f aca="false">Scenarios!D8</f>
        <v>0</v>
      </c>
      <c r="D13" s="69" t="n">
        <f aca="false">Scenarios!D10</f>
        <v>0</v>
      </c>
      <c r="E13" s="80" t="n">
        <f aca="false">C13-D13</f>
        <v>0</v>
      </c>
      <c r="F13" s="80" t="n">
        <f aca="false">F12+E13</f>
        <v>0</v>
      </c>
      <c r="G13" s="2"/>
      <c r="H13" s="2"/>
      <c r="I13" s="2"/>
      <c r="J13" s="2"/>
      <c r="K13" s="2"/>
      <c r="L13" s="2"/>
    </row>
    <row r="14" customFormat="false" ht="14.25" hidden="false" customHeight="true" outlineLevel="0" collapsed="false">
      <c r="A14" s="2"/>
      <c r="B14" s="30" t="s">
        <v>193</v>
      </c>
      <c r="C14" s="63" t="n">
        <f aca="false">Scenarios!D8</f>
        <v>0</v>
      </c>
      <c r="D14" s="69" t="n">
        <f aca="false">Scenarios!D10</f>
        <v>0</v>
      </c>
      <c r="E14" s="80" t="n">
        <f aca="false">C14-D14</f>
        <v>0</v>
      </c>
      <c r="F14" s="80" t="n">
        <f aca="false">F13+E14</f>
        <v>0</v>
      </c>
      <c r="G14" s="2"/>
      <c r="H14" s="2"/>
      <c r="I14" s="2"/>
      <c r="J14" s="2"/>
      <c r="K14" s="2"/>
      <c r="L14" s="2"/>
    </row>
    <row r="15" customFormat="false" ht="14.25" hidden="false" customHeight="true" outlineLevel="0" collapsed="false">
      <c r="A15" s="2"/>
      <c r="B15" s="30" t="s">
        <v>194</v>
      </c>
      <c r="C15" s="63" t="n">
        <f aca="false">Scenarios!D8</f>
        <v>0</v>
      </c>
      <c r="D15" s="69" t="n">
        <f aca="false">Scenarios!D10</f>
        <v>0</v>
      </c>
      <c r="E15" s="80" t="n">
        <f aca="false">C15-D15</f>
        <v>0</v>
      </c>
      <c r="F15" s="80" t="n">
        <f aca="false">F14+E15</f>
        <v>0</v>
      </c>
      <c r="G15" s="2"/>
      <c r="H15" s="2"/>
      <c r="I15" s="2"/>
      <c r="J15" s="2"/>
      <c r="K15" s="2"/>
      <c r="L15" s="2"/>
    </row>
    <row r="16" customFormat="false" ht="14.25" hidden="false" customHeight="tru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customFormat="false" ht="14.25" hidden="false" customHeight="tru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customFormat="false" ht="33.75" hidden="false" customHeight="true" outlineLevel="0" collapsed="false">
      <c r="A18" s="2"/>
      <c r="B18" s="28" t="s">
        <v>195</v>
      </c>
      <c r="C18" s="29"/>
      <c r="D18" s="29"/>
      <c r="E18" s="29"/>
      <c r="F18" s="29"/>
      <c r="G18" s="29"/>
      <c r="H18" s="29"/>
      <c r="I18" s="2"/>
      <c r="J18" s="2"/>
      <c r="K18" s="2"/>
      <c r="L18" s="2"/>
    </row>
    <row r="19" customFormat="false" ht="14.25" hidden="false" customHeight="true" outlineLevel="0" collapsed="false">
      <c r="A19" s="2"/>
      <c r="B19" s="46" t="s">
        <v>196</v>
      </c>
      <c r="C19" s="46" t="s">
        <v>161</v>
      </c>
      <c r="D19" s="46" t="s">
        <v>162</v>
      </c>
      <c r="E19" s="46" t="s">
        <v>163</v>
      </c>
      <c r="F19" s="2"/>
      <c r="G19" s="2"/>
      <c r="H19" s="2"/>
      <c r="I19" s="2"/>
      <c r="J19" s="2"/>
      <c r="K19" s="2"/>
      <c r="L19" s="2"/>
    </row>
    <row r="20" customFormat="false" ht="14.25" hidden="false" customHeight="true" outlineLevel="0" collapsed="false">
      <c r="A20" s="2"/>
      <c r="B20" s="30" t="s">
        <v>197</v>
      </c>
      <c r="C20" s="81" t="n">
        <f aca="false">Scenarios!C15</f>
        <v>0</v>
      </c>
      <c r="D20" s="58" t="n">
        <f aca="false">Scenarios!D15</f>
        <v>0</v>
      </c>
      <c r="E20" s="63" t="n">
        <f aca="false">Scenarios!E15</f>
        <v>0</v>
      </c>
      <c r="F20" s="2"/>
      <c r="G20" s="2"/>
      <c r="H20" s="2"/>
      <c r="I20" s="2"/>
      <c r="J20" s="2"/>
      <c r="K20" s="2"/>
      <c r="L20" s="2"/>
    </row>
    <row r="21" customFormat="false" ht="14.25" hidden="false" customHeight="true" outlineLevel="0" collapsed="false">
      <c r="A21" s="2"/>
      <c r="B21" s="30" t="s">
        <v>198</v>
      </c>
      <c r="C21" s="81" t="n">
        <f aca="false">Scenarios!C14</f>
        <v>0</v>
      </c>
      <c r="D21" s="58" t="n">
        <f aca="false">Scenarios!D14</f>
        <v>0</v>
      </c>
      <c r="E21" s="63" t="n">
        <f aca="false">Scenarios!E14</f>
        <v>0</v>
      </c>
      <c r="F21" s="2"/>
      <c r="G21" s="2"/>
      <c r="H21" s="2"/>
      <c r="I21" s="2"/>
      <c r="J21" s="2"/>
      <c r="K21" s="2"/>
      <c r="L21" s="2"/>
    </row>
    <row r="22" customFormat="false" ht="14.25" hidden="false" customHeight="true" outlineLevel="0" collapsed="false">
      <c r="A22" s="2"/>
      <c r="B22" s="30" t="s">
        <v>173</v>
      </c>
      <c r="C22" s="82" t="n">
        <f aca="false">Scenarios!C16</f>
        <v>0</v>
      </c>
      <c r="D22" s="83" t="n">
        <f aca="false">Scenarios!D16</f>
        <v>0</v>
      </c>
      <c r="E22" s="68" t="n">
        <f aca="false">Scenarios!E16</f>
        <v>0</v>
      </c>
      <c r="F22" s="2"/>
      <c r="G22" s="2"/>
      <c r="H22" s="2"/>
      <c r="I22" s="2"/>
      <c r="J22" s="2"/>
      <c r="K22" s="2"/>
      <c r="L22" s="2"/>
    </row>
    <row r="23" customFormat="false" ht="14.25" hidden="false" customHeight="true" outlineLevel="0" collapsed="false">
      <c r="A23" s="2"/>
      <c r="B23" s="30" t="s">
        <v>180</v>
      </c>
      <c r="C23" s="84" t="str">
        <f aca="false">Scenarios!C17</f>
        <v>N/A</v>
      </c>
      <c r="D23" s="71" t="str">
        <f aca="false">Scenarios!D17</f>
        <v>N/A</v>
      </c>
      <c r="E23" s="85" t="str">
        <f aca="false">Scenarios!E17</f>
        <v>N/A</v>
      </c>
      <c r="F23" s="2"/>
      <c r="G23" s="2"/>
      <c r="H23" s="2"/>
      <c r="I23" s="2"/>
      <c r="J23" s="2"/>
      <c r="K23" s="2"/>
      <c r="L23" s="2"/>
    </row>
    <row r="24" customFormat="false" ht="14.25" hidden="false" customHeight="true" outlineLevel="0" collapsed="false">
      <c r="A24" s="2"/>
      <c r="B24" s="30" t="s">
        <v>175</v>
      </c>
      <c r="C24" s="86" t="n">
        <f aca="false">Scenarios!C18</f>
        <v>0</v>
      </c>
      <c r="D24" s="54" t="n">
        <f aca="false">Scenarios!D18</f>
        <v>0</v>
      </c>
      <c r="E24" s="87" t="n">
        <f aca="false">Scenarios!E18</f>
        <v>0</v>
      </c>
      <c r="F24" s="2"/>
      <c r="G24" s="2"/>
      <c r="H24" s="2"/>
      <c r="I24" s="2"/>
      <c r="J24" s="2"/>
      <c r="K24" s="2"/>
      <c r="L24" s="2"/>
    </row>
    <row r="25" customFormat="false" ht="14.25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customFormat="false" ht="14.2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customFormat="false" ht="14.2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customFormat="false" ht="14.2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customFormat="false" ht="14.2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customFormat="false" ht="14.2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customFormat="false" ht="14.2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customFormat="false" ht="14.2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customFormat="false" ht="14.2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customFormat="false" ht="14.2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customFormat="false" ht="14.2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customFormat="false" ht="14.2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customFormat="false" ht="14.2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customFormat="false" ht="14.2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customFormat="false" ht="14.2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customFormat="false" ht="14.2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customFormat="false" ht="14.2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customFormat="false" ht="14.2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customFormat="false" ht="14.2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customFormat="false" ht="14.2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customFormat="false" ht="14.2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customFormat="false" ht="14.2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customFormat="false" ht="14.2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customFormat="false" ht="14.2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customFormat="false" ht="14.2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customFormat="false" ht="14.2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</sheetData>
  <mergeCells count="9">
    <mergeCell ref="B2:H2"/>
    <mergeCell ref="B5:C5"/>
    <mergeCell ref="D5:E5"/>
    <mergeCell ref="F5:G5"/>
    <mergeCell ref="H5:I5"/>
    <mergeCell ref="B6:C6"/>
    <mergeCell ref="D6:E6"/>
    <mergeCell ref="F6:G6"/>
    <mergeCell ref="H6:I6"/>
  </mergeCells>
  <conditionalFormatting sqref="E10:F15">
    <cfRule type="cellIs" priority="2" operator="greaterThanOrEqual" aboveAverage="0" equalAverage="0" bottom="0" percent="0" rank="0" text="" dxfId="2">
      <formula>0</formula>
    </cfRule>
    <cfRule type="cellIs" priority="3" operator="lessThan" aboveAverage="0" equalAverage="0" bottom="0" percent="0" rank="0" text="" dxfId="3">
      <formula>0</formula>
    </cfRule>
  </conditionalFormatting>
  <printOptions headings="false" gridLines="false" gridLinesSet="true" horizontalCentered="tru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490"/>
    <pageSetUpPr fitToPage="true"/>
  </sheetPr>
  <dimension ref="A1:L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8" min="3" style="1" width="18"/>
  </cols>
  <sheetData>
    <row r="1" customFormat="false" ht="14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7.25" hidden="false" customHeight="true" outlineLevel="0" collapsed="false">
      <c r="A2" s="2"/>
      <c r="B2" s="16" t="s">
        <v>199</v>
      </c>
      <c r="C2" s="16"/>
      <c r="D2" s="16"/>
      <c r="E2" s="16"/>
      <c r="F2" s="16"/>
      <c r="G2" s="16"/>
      <c r="H2" s="16"/>
      <c r="I2" s="2"/>
      <c r="J2" s="2"/>
      <c r="K2" s="2"/>
      <c r="L2" s="2"/>
    </row>
    <row r="3" customFormat="false" ht="14.2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9.5" hidden="false" customHeight="true" outlineLevel="0" collapsed="false">
      <c r="A4" s="2"/>
      <c r="B4" s="88" t="str">
        <f aca="false">IF(AND(Calculations!B3&gt;0,Calculations!B4&gt;Calculations!B2),"✓  INVESTMENT RECOMMENDED","⚠  MARGINAL — REVIEW ASSUMPTIONS")</f>
        <v>⚠  MARGINAL — REVIEW ASSUMPTIONS</v>
      </c>
      <c r="C4" s="88"/>
      <c r="D4" s="88"/>
      <c r="E4" s="88"/>
      <c r="F4" s="88"/>
      <c r="G4" s="88"/>
      <c r="H4" s="88"/>
      <c r="I4" s="2"/>
      <c r="J4" s="2"/>
      <c r="K4" s="2"/>
      <c r="L4" s="2"/>
    </row>
    <row r="5" customFormat="false" ht="15" hidden="false" customHeight="true" outlineLevel="0" collapsed="false">
      <c r="A5" s="2"/>
      <c r="B5" s="89" t="str">
        <f aca="false">IF('Project Setup'!C5="","OtC Transformation Business Case",'Project Setup'!C5)</f>
        <v>OtC Transformation Business Case</v>
      </c>
      <c r="C5" s="89"/>
      <c r="D5" s="89"/>
      <c r="E5" s="89"/>
      <c r="F5" s="89"/>
      <c r="G5" s="89"/>
      <c r="H5" s="89"/>
      <c r="I5" s="2"/>
      <c r="J5" s="2"/>
      <c r="K5" s="2"/>
      <c r="L5" s="2"/>
    </row>
    <row r="6" customFormat="false" ht="14.25" hidden="false" customHeight="tru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customFormat="false" ht="15" hidden="false" customHeight="true" outlineLevel="0" collapsed="false">
      <c r="A7" s="2"/>
      <c r="B7" s="90" t="s">
        <v>200</v>
      </c>
      <c r="C7" s="90"/>
      <c r="D7" s="90" t="s">
        <v>179</v>
      </c>
      <c r="E7" s="90"/>
      <c r="F7" s="90" t="s">
        <v>201</v>
      </c>
      <c r="G7" s="90"/>
      <c r="H7" s="90" t="s">
        <v>175</v>
      </c>
      <c r="I7" s="90"/>
      <c r="J7" s="2"/>
      <c r="K7" s="2"/>
      <c r="L7" s="2"/>
    </row>
    <row r="8" customFormat="false" ht="24" hidden="false" customHeight="true" outlineLevel="0" collapsed="false">
      <c r="A8" s="2"/>
      <c r="B8" s="91" t="n">
        <f aca="false">Calculations!B3</f>
        <v>0</v>
      </c>
      <c r="C8" s="91"/>
      <c r="D8" s="92" t="n">
        <f aca="false">Calculations!B4</f>
        <v>0</v>
      </c>
      <c r="E8" s="92"/>
      <c r="F8" s="93" t="str">
        <f aca="false">Scenarios!D17</f>
        <v>N/A</v>
      </c>
      <c r="G8" s="93"/>
      <c r="H8" s="94" t="n">
        <f aca="false">Scenarios!D18</f>
        <v>0</v>
      </c>
      <c r="I8" s="94"/>
      <c r="J8" s="2"/>
      <c r="K8" s="2"/>
      <c r="L8" s="2"/>
    </row>
    <row r="9" customFormat="false" ht="14.25" hidden="false" customHeight="tru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customFormat="false" ht="33.75" hidden="false" customHeight="true" outlineLevel="0" collapsed="false">
      <c r="A10" s="2"/>
      <c r="B10" s="28" t="s">
        <v>202</v>
      </c>
      <c r="C10" s="29"/>
      <c r="D10" s="29"/>
      <c r="E10" s="29"/>
      <c r="F10" s="29"/>
      <c r="G10" s="29"/>
      <c r="H10" s="29"/>
      <c r="I10" s="2"/>
      <c r="J10" s="2"/>
      <c r="K10" s="2"/>
      <c r="L10" s="2"/>
    </row>
    <row r="11" customFormat="false" ht="15" hidden="false" customHeight="true" outlineLevel="0" collapsed="false">
      <c r="A11" s="2"/>
      <c r="B11" s="30" t="s">
        <v>203</v>
      </c>
      <c r="C11" s="30"/>
      <c r="D11" s="95" t="n">
        <f aca="false">Scenarios!D9</f>
        <v>0</v>
      </c>
      <c r="E11" s="2"/>
      <c r="F11" s="2"/>
      <c r="G11" s="2"/>
      <c r="H11" s="2"/>
      <c r="I11" s="2"/>
      <c r="J11" s="2"/>
      <c r="K11" s="2"/>
      <c r="L11" s="2"/>
    </row>
    <row r="12" customFormat="false" ht="15" hidden="false" customHeight="true" outlineLevel="0" collapsed="false">
      <c r="A12" s="2"/>
      <c r="B12" s="30" t="s">
        <v>204</v>
      </c>
      <c r="C12" s="30"/>
      <c r="D12" s="95" t="n">
        <f aca="false">Scenarios!D10</f>
        <v>0</v>
      </c>
      <c r="E12" s="2"/>
      <c r="F12" s="2"/>
      <c r="G12" s="2"/>
      <c r="H12" s="2"/>
      <c r="I12" s="2"/>
      <c r="J12" s="2"/>
      <c r="K12" s="2"/>
      <c r="L12" s="2"/>
    </row>
    <row r="13" customFormat="false" ht="15" hidden="false" customHeight="true" outlineLevel="0" collapsed="false">
      <c r="A13" s="2"/>
      <c r="B13" s="30" t="s">
        <v>205</v>
      </c>
      <c r="C13" s="30"/>
      <c r="D13" s="96" t="n">
        <f aca="false">Scenarios!D8</f>
        <v>0</v>
      </c>
      <c r="E13" s="2"/>
      <c r="F13" s="2"/>
      <c r="G13" s="2"/>
      <c r="H13" s="2"/>
      <c r="I13" s="2"/>
      <c r="J13" s="2"/>
      <c r="K13" s="2"/>
      <c r="L13" s="2"/>
    </row>
    <row r="14" customFormat="false" ht="15" hidden="false" customHeight="true" outlineLevel="0" collapsed="false">
      <c r="A14" s="2"/>
      <c r="B14" s="30" t="s">
        <v>206</v>
      </c>
      <c r="C14" s="30"/>
      <c r="D14" s="95" t="n">
        <f aca="false">Scenarios!D15</f>
        <v>0</v>
      </c>
      <c r="E14" s="2"/>
      <c r="F14" s="2"/>
      <c r="G14" s="2"/>
      <c r="H14" s="2"/>
      <c r="I14" s="2"/>
      <c r="J14" s="2"/>
      <c r="K14" s="2"/>
      <c r="L14" s="2"/>
    </row>
    <row r="15" customFormat="false" ht="15" hidden="false" customHeight="true" outlineLevel="0" collapsed="false">
      <c r="A15" s="2"/>
      <c r="B15" s="30" t="s">
        <v>171</v>
      </c>
      <c r="C15" s="30"/>
      <c r="D15" s="96" t="n">
        <f aca="false">Scenarios!D14</f>
        <v>0</v>
      </c>
      <c r="E15" s="2"/>
      <c r="F15" s="2"/>
      <c r="G15" s="2"/>
      <c r="H15" s="2"/>
      <c r="I15" s="2"/>
      <c r="J15" s="2"/>
      <c r="K15" s="2"/>
      <c r="L15" s="2"/>
    </row>
    <row r="16" customFormat="false" ht="15" hidden="false" customHeight="true" outlineLevel="0" collapsed="false">
      <c r="A16" s="2"/>
      <c r="B16" s="30" t="s">
        <v>173</v>
      </c>
      <c r="C16" s="30"/>
      <c r="D16" s="97" t="n">
        <f aca="false">Scenarios!D16</f>
        <v>0</v>
      </c>
      <c r="E16" s="2"/>
      <c r="F16" s="2"/>
      <c r="G16" s="2"/>
      <c r="H16" s="2"/>
      <c r="I16" s="2"/>
      <c r="J16" s="2"/>
      <c r="K16" s="2"/>
      <c r="L16" s="2"/>
    </row>
    <row r="17" customFormat="false" ht="14.25" hidden="false" customHeight="tru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customFormat="false" ht="33.75" hidden="false" customHeight="true" outlineLevel="0" collapsed="false">
      <c r="A18" s="2"/>
      <c r="B18" s="28" t="s">
        <v>207</v>
      </c>
      <c r="C18" s="29"/>
      <c r="D18" s="29"/>
      <c r="E18" s="29"/>
      <c r="F18" s="29"/>
      <c r="G18" s="29"/>
      <c r="H18" s="29"/>
      <c r="I18" s="2"/>
      <c r="J18" s="2"/>
      <c r="K18" s="2"/>
      <c r="L18" s="2"/>
    </row>
    <row r="19" customFormat="false" ht="15" hidden="false" customHeight="true" outlineLevel="0" collapsed="false">
      <c r="A19" s="2"/>
      <c r="B19" s="30" t="s">
        <v>208</v>
      </c>
      <c r="C19" s="30"/>
      <c r="D19" s="82" t="n">
        <f aca="false">Scenarios!C16</f>
        <v>0</v>
      </c>
      <c r="E19" s="98" t="s">
        <v>209</v>
      </c>
      <c r="F19" s="68" t="n">
        <f aca="false">Scenarios!E16</f>
        <v>0</v>
      </c>
      <c r="G19" s="2"/>
      <c r="H19" s="2"/>
      <c r="I19" s="2"/>
      <c r="J19" s="2"/>
      <c r="K19" s="2"/>
      <c r="L19" s="2"/>
    </row>
    <row r="20" customFormat="false" ht="15" hidden="false" customHeight="true" outlineLevel="0" collapsed="false">
      <c r="A20" s="2"/>
      <c r="B20" s="30" t="s">
        <v>210</v>
      </c>
      <c r="C20" s="30"/>
      <c r="D20" s="86" t="n">
        <f aca="false">Scenarios!C18</f>
        <v>0</v>
      </c>
      <c r="E20" s="98" t="s">
        <v>209</v>
      </c>
      <c r="F20" s="87" t="n">
        <f aca="false">Scenarios!E18</f>
        <v>0</v>
      </c>
      <c r="G20" s="2"/>
      <c r="H20" s="2"/>
      <c r="I20" s="2"/>
      <c r="J20" s="2"/>
      <c r="K20" s="2"/>
      <c r="L20" s="2"/>
    </row>
    <row r="21" customFormat="false" ht="15" hidden="false" customHeight="true" outlineLevel="0" collapsed="false">
      <c r="A21" s="2"/>
      <c r="B21" s="30" t="s">
        <v>211</v>
      </c>
      <c r="C21" s="30"/>
      <c r="D21" s="99" t="n">
        <f aca="false">Calculations!B8</f>
        <v>0.0634375</v>
      </c>
      <c r="E21" s="2"/>
      <c r="F21" s="2"/>
      <c r="G21" s="2"/>
      <c r="H21" s="2"/>
      <c r="I21" s="2"/>
      <c r="J21" s="2"/>
      <c r="K21" s="2"/>
      <c r="L21" s="2"/>
    </row>
    <row r="22" customFormat="false" ht="14.25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customFormat="false" ht="15" hidden="false" customHeight="true" outlineLevel="0" collapsed="false">
      <c r="A23" s="2"/>
      <c r="B23" s="30" t="s">
        <v>212</v>
      </c>
      <c r="C23" s="30"/>
      <c r="D23" s="100" t="str">
        <f aca="false">IF(AND(Scenarios!C16&gt;0,Scenarios!D16&gt;0,Scenarios!E16&gt;0),"Robust across all scenarios",IF(Scenarios!D16&gt;0,"Positive in base case, sensitive to downside","Marginal — reassess assumptions"))</f>
        <v>Marginal — reassess assumptions</v>
      </c>
      <c r="E23" s="100"/>
      <c r="F23" s="100"/>
      <c r="G23" s="100"/>
      <c r="H23" s="2"/>
      <c r="I23" s="2"/>
      <c r="J23" s="2"/>
      <c r="K23" s="2"/>
      <c r="L23" s="2"/>
    </row>
    <row r="24" customFormat="false" ht="14.25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customFormat="false" ht="14.25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customFormat="false" ht="15" hidden="false" customHeight="true" outlineLevel="0" collapsed="false">
      <c r="A26" s="2"/>
      <c r="B26" s="15" t="s">
        <v>213</v>
      </c>
      <c r="C26" s="15"/>
      <c r="D26" s="15"/>
      <c r="E26" s="15"/>
      <c r="F26" s="15"/>
      <c r="G26" s="15"/>
      <c r="H26" s="15"/>
      <c r="I26" s="2"/>
      <c r="J26" s="2"/>
      <c r="K26" s="2"/>
      <c r="L26" s="2"/>
    </row>
    <row r="27" customFormat="false" ht="14.2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customFormat="false" ht="14.2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customFormat="false" ht="14.2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customFormat="false" ht="14.2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customFormat="false" ht="14.2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customFormat="false" ht="14.2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customFormat="false" ht="14.2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customFormat="false" ht="14.2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customFormat="false" ht="14.2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customFormat="false" ht="14.2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customFormat="false" ht="14.2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customFormat="false" ht="14.2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customFormat="false" ht="14.2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customFormat="false" ht="14.2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customFormat="false" ht="14.2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customFormat="false" ht="14.2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customFormat="false" ht="14.2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customFormat="false" ht="14.2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customFormat="false" ht="14.2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customFormat="false" ht="14.2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customFormat="false" ht="14.2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customFormat="false" ht="14.2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customFormat="false" ht="14.2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customFormat="false" ht="14.2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customFormat="false" ht="14.2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customFormat="false" ht="14.2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customFormat="false" ht="14.2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customFormat="false" ht="14.2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customFormat="false" ht="14.2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</sheetData>
  <mergeCells count="23">
    <mergeCell ref="B2:H2"/>
    <mergeCell ref="B4:H4"/>
    <mergeCell ref="B5:H5"/>
    <mergeCell ref="B7:C7"/>
    <mergeCell ref="D7:E7"/>
    <mergeCell ref="F7:G7"/>
    <mergeCell ref="H7:I7"/>
    <mergeCell ref="B8:C8"/>
    <mergeCell ref="D8:E8"/>
    <mergeCell ref="F8:G8"/>
    <mergeCell ref="H8:I8"/>
    <mergeCell ref="B11:C11"/>
    <mergeCell ref="B12:C12"/>
    <mergeCell ref="B13:C13"/>
    <mergeCell ref="B14:C14"/>
    <mergeCell ref="B15:C15"/>
    <mergeCell ref="B16:C16"/>
    <mergeCell ref="B19:C19"/>
    <mergeCell ref="B20:C20"/>
    <mergeCell ref="B21:C21"/>
    <mergeCell ref="B23:C23"/>
    <mergeCell ref="D23:G23"/>
    <mergeCell ref="B26:H26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490"/>
    <pageSetUpPr fitToPage="true"/>
  </sheetPr>
  <dimension ref="A1:L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5" min="3" style="1" width="18"/>
    <col collapsed="false" customWidth="true" hidden="false" outlineLevel="0" max="6" min="6" style="1" width="25"/>
  </cols>
  <sheetData>
    <row r="1" customFormat="false" ht="14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7.25" hidden="false" customHeight="true" outlineLevel="0" collapsed="false">
      <c r="A2" s="2"/>
      <c r="B2" s="16" t="s">
        <v>214</v>
      </c>
      <c r="C2" s="16"/>
      <c r="D2" s="16"/>
      <c r="E2" s="16"/>
      <c r="F2" s="16"/>
      <c r="G2" s="2"/>
      <c r="H2" s="2"/>
      <c r="I2" s="2"/>
      <c r="J2" s="2"/>
      <c r="K2" s="2"/>
      <c r="L2" s="2"/>
    </row>
    <row r="3" customFormat="false" ht="14.2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4.25" hidden="false" customHeight="true" outlineLevel="0" collapsed="false">
      <c r="A4" s="2"/>
      <c r="B4" s="46" t="s">
        <v>196</v>
      </c>
      <c r="C4" s="46" t="s">
        <v>107</v>
      </c>
      <c r="D4" s="46" t="s">
        <v>108</v>
      </c>
      <c r="E4" s="46" t="s">
        <v>109</v>
      </c>
      <c r="F4" s="46" t="s">
        <v>215</v>
      </c>
      <c r="G4" s="2"/>
      <c r="H4" s="2"/>
      <c r="I4" s="2"/>
      <c r="J4" s="2"/>
      <c r="K4" s="2"/>
      <c r="L4" s="2"/>
    </row>
    <row r="5" customFormat="false" ht="14.25" hidden="false" customHeight="true" outlineLevel="0" collapsed="false">
      <c r="A5" s="2"/>
      <c r="B5" s="30" t="s">
        <v>216</v>
      </c>
      <c r="C5" s="101" t="n">
        <v>28</v>
      </c>
      <c r="D5" s="102" t="n">
        <v>38</v>
      </c>
      <c r="E5" s="103" t="n">
        <v>52</v>
      </c>
      <c r="F5" s="104" t="s">
        <v>217</v>
      </c>
      <c r="G5" s="2"/>
      <c r="H5" s="2"/>
      <c r="I5" s="2"/>
      <c r="J5" s="2"/>
      <c r="K5" s="2"/>
      <c r="L5" s="2"/>
    </row>
    <row r="6" customFormat="false" ht="27.75" hidden="false" customHeight="true" outlineLevel="0" collapsed="false">
      <c r="A6" s="2"/>
      <c r="B6" s="30" t="s">
        <v>218</v>
      </c>
      <c r="C6" s="101" t="n">
        <v>98</v>
      </c>
      <c r="D6" s="102" t="n">
        <v>92</v>
      </c>
      <c r="E6" s="103" t="n">
        <v>85</v>
      </c>
      <c r="F6" s="104" t="s">
        <v>219</v>
      </c>
      <c r="G6" s="2"/>
      <c r="H6" s="2"/>
      <c r="I6" s="2"/>
      <c r="J6" s="2"/>
      <c r="K6" s="2"/>
      <c r="L6" s="2"/>
    </row>
    <row r="7" customFormat="false" ht="14.25" hidden="false" customHeight="true" outlineLevel="0" collapsed="false">
      <c r="A7" s="2"/>
      <c r="B7" s="30" t="s">
        <v>220</v>
      </c>
      <c r="C7" s="101" t="n">
        <v>2.1</v>
      </c>
      <c r="D7" s="102" t="n">
        <v>5.4</v>
      </c>
      <c r="E7" s="103" t="n">
        <v>11.2</v>
      </c>
      <c r="F7" s="104" t="s">
        <v>217</v>
      </c>
      <c r="G7" s="2"/>
      <c r="H7" s="2"/>
      <c r="I7" s="2"/>
      <c r="J7" s="2"/>
      <c r="K7" s="2"/>
      <c r="L7" s="2"/>
    </row>
    <row r="8" customFormat="false" ht="14.25" hidden="false" customHeight="true" outlineLevel="0" collapsed="false">
      <c r="A8" s="2"/>
      <c r="B8" s="30" t="s">
        <v>221</v>
      </c>
      <c r="C8" s="101" t="n">
        <v>92</v>
      </c>
      <c r="D8" s="102" t="n">
        <v>74</v>
      </c>
      <c r="E8" s="103" t="n">
        <v>55</v>
      </c>
      <c r="F8" s="104" t="s">
        <v>219</v>
      </c>
      <c r="G8" s="2"/>
      <c r="H8" s="2"/>
      <c r="I8" s="2"/>
      <c r="J8" s="2"/>
      <c r="K8" s="2"/>
      <c r="L8" s="2"/>
    </row>
    <row r="9" customFormat="false" ht="14.25" hidden="false" customHeight="true" outlineLevel="0" collapsed="false">
      <c r="A9" s="2"/>
      <c r="B9" s="30" t="s">
        <v>222</v>
      </c>
      <c r="C9" s="101" t="n">
        <v>0.1</v>
      </c>
      <c r="D9" s="102" t="n">
        <v>0.4</v>
      </c>
      <c r="E9" s="103" t="n">
        <v>1.2</v>
      </c>
      <c r="F9" s="104" t="s">
        <v>217</v>
      </c>
      <c r="G9" s="2"/>
      <c r="H9" s="2"/>
      <c r="I9" s="2"/>
      <c r="J9" s="2"/>
      <c r="K9" s="2"/>
      <c r="L9" s="2"/>
    </row>
    <row r="10" customFormat="false" ht="14.25" hidden="false" customHeight="true" outlineLevel="0" collapsed="false">
      <c r="A10" s="2"/>
      <c r="B10" s="30" t="s">
        <v>223</v>
      </c>
      <c r="C10" s="101" t="n">
        <v>99.5</v>
      </c>
      <c r="D10" s="102" t="n">
        <v>97</v>
      </c>
      <c r="E10" s="103" t="n">
        <v>93</v>
      </c>
      <c r="F10" s="104" t="s">
        <v>219</v>
      </c>
      <c r="G10" s="2"/>
      <c r="H10" s="2"/>
      <c r="I10" s="2"/>
      <c r="J10" s="2"/>
      <c r="K10" s="2"/>
      <c r="L10" s="2"/>
    </row>
    <row r="11" customFormat="false" ht="14.25" hidden="false" customHeight="true" outlineLevel="0" collapsed="false">
      <c r="A11" s="2"/>
      <c r="B11" s="30" t="s">
        <v>224</v>
      </c>
      <c r="C11" s="101" t="n">
        <v>1</v>
      </c>
      <c r="D11" s="102" t="n">
        <v>3.5</v>
      </c>
      <c r="E11" s="103" t="n">
        <v>8</v>
      </c>
      <c r="F11" s="104" t="s">
        <v>217</v>
      </c>
      <c r="G11" s="2"/>
      <c r="H11" s="2"/>
      <c r="I11" s="2"/>
      <c r="J11" s="2"/>
      <c r="K11" s="2"/>
      <c r="L11" s="2"/>
    </row>
    <row r="12" customFormat="false" ht="14.25" hidden="false" customHeight="true" outlineLevel="0" collapsed="false">
      <c r="A12" s="2"/>
      <c r="B12" s="30" t="s">
        <v>225</v>
      </c>
      <c r="C12" s="101" t="n">
        <v>8</v>
      </c>
      <c r="D12" s="102" t="n">
        <v>15</v>
      </c>
      <c r="E12" s="103" t="n">
        <v>28</v>
      </c>
      <c r="F12" s="104" t="s">
        <v>217</v>
      </c>
      <c r="G12" s="2"/>
      <c r="H12" s="2"/>
      <c r="I12" s="2"/>
      <c r="J12" s="2"/>
      <c r="K12" s="2"/>
      <c r="L12" s="2"/>
    </row>
    <row r="13" customFormat="false" ht="27.75" hidden="false" customHeight="true" outlineLevel="0" collapsed="false">
      <c r="A13" s="2"/>
      <c r="B13" s="30" t="s">
        <v>226</v>
      </c>
      <c r="C13" s="101" t="n">
        <v>95</v>
      </c>
      <c r="D13" s="102" t="n">
        <v>72</v>
      </c>
      <c r="E13" s="103" t="n">
        <v>40</v>
      </c>
      <c r="F13" s="104" t="s">
        <v>219</v>
      </c>
      <c r="G13" s="2"/>
      <c r="H13" s="2"/>
      <c r="I13" s="2"/>
      <c r="J13" s="2"/>
      <c r="K13" s="2"/>
      <c r="L13" s="2"/>
    </row>
    <row r="14" customFormat="false" ht="27.75" hidden="false" customHeight="true" outlineLevel="0" collapsed="false">
      <c r="A14" s="2"/>
      <c r="B14" s="30" t="s">
        <v>227</v>
      </c>
      <c r="C14" s="101" t="n">
        <v>95</v>
      </c>
      <c r="D14" s="102" t="n">
        <v>78</v>
      </c>
      <c r="E14" s="103" t="n">
        <v>50</v>
      </c>
      <c r="F14" s="104" t="s">
        <v>219</v>
      </c>
      <c r="G14" s="2"/>
      <c r="H14" s="2"/>
      <c r="I14" s="2"/>
      <c r="J14" s="2"/>
      <c r="K14" s="2"/>
      <c r="L14" s="2"/>
    </row>
    <row r="15" customFormat="false" ht="14.25" hidden="false" customHeight="tru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customFormat="false" ht="39.75" hidden="false" customHeight="true" outlineLevel="0" collapsed="false">
      <c r="A16" s="2"/>
      <c r="B16" s="105" t="s">
        <v>228</v>
      </c>
      <c r="C16" s="105"/>
      <c r="D16" s="105"/>
      <c r="E16" s="105"/>
      <c r="F16" s="105"/>
      <c r="G16" s="2"/>
      <c r="H16" s="2"/>
      <c r="I16" s="2"/>
      <c r="J16" s="2"/>
      <c r="K16" s="2"/>
      <c r="L16" s="2"/>
    </row>
    <row r="17" customFormat="false" ht="14.25" hidden="false" customHeight="tru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customFormat="false" ht="14.25" hidden="false" customHeight="tru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customFormat="false" ht="14.25" hidden="false" customHeight="tru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customFormat="false" ht="14.25" hidden="false" customHeight="tru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customFormat="false" ht="14.25" hidden="false" customHeight="tru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customFormat="false" ht="14.25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customFormat="false" ht="14.25" hidden="false" customHeight="tru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customFormat="false" ht="14.25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customFormat="false" ht="14.25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customFormat="false" ht="14.2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customFormat="false" ht="14.2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customFormat="false" ht="14.2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customFormat="false" ht="14.2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customFormat="false" ht="14.2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</sheetData>
  <mergeCells count="2">
    <mergeCell ref="B2:F2"/>
    <mergeCell ref="B16:F16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490"/>
    <pageSetUpPr fitToPage="true"/>
  </sheetPr>
  <dimension ref="A1:L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6"/>
    <col collapsed="false" customWidth="true" hidden="false" outlineLevel="0" max="3" min="3" style="1" width="30"/>
    <col collapsed="false" customWidth="true" hidden="false" outlineLevel="0" max="6" min="4" style="1" width="14"/>
    <col collapsed="false" customWidth="true" hidden="false" outlineLevel="0" max="7" min="7" style="1" width="40"/>
  </cols>
  <sheetData>
    <row r="1" customFormat="false" ht="14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7.25" hidden="false" customHeight="true" outlineLevel="0" collapsed="false">
      <c r="A2" s="2"/>
      <c r="B2" s="16" t="s">
        <v>229</v>
      </c>
      <c r="C2" s="16"/>
      <c r="D2" s="16"/>
      <c r="E2" s="16"/>
      <c r="F2" s="16"/>
      <c r="G2" s="16"/>
      <c r="H2" s="2"/>
      <c r="I2" s="2"/>
      <c r="J2" s="2"/>
      <c r="K2" s="2"/>
      <c r="L2" s="2"/>
    </row>
    <row r="3" customFormat="false" ht="14.2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4.25" hidden="false" customHeight="true" outlineLevel="0" collapsed="false">
      <c r="A4" s="2"/>
      <c r="B4" s="46" t="s">
        <v>230</v>
      </c>
      <c r="C4" s="46" t="s">
        <v>231</v>
      </c>
      <c r="D4" s="46" t="s">
        <v>232</v>
      </c>
      <c r="E4" s="46" t="s">
        <v>233</v>
      </c>
      <c r="F4" s="46" t="s">
        <v>234</v>
      </c>
      <c r="G4" s="46" t="s">
        <v>235</v>
      </c>
      <c r="H4" s="2"/>
      <c r="I4" s="2"/>
      <c r="J4" s="2"/>
      <c r="K4" s="2"/>
      <c r="L4" s="2"/>
    </row>
    <row r="5" customFormat="false" ht="27.75" hidden="false" customHeight="true" outlineLevel="0" collapsed="false">
      <c r="A5" s="2"/>
      <c r="B5" s="90" t="n">
        <v>1</v>
      </c>
      <c r="C5" s="33" t="s">
        <v>236</v>
      </c>
      <c r="D5" s="64" t="n">
        <v>0.3</v>
      </c>
      <c r="E5" s="64" t="n">
        <v>0.2</v>
      </c>
      <c r="F5" s="106" t="n">
        <f aca="false">D5*E5</f>
        <v>0.06</v>
      </c>
      <c r="G5" s="33" t="s">
        <v>237</v>
      </c>
      <c r="H5" s="2"/>
      <c r="I5" s="2"/>
      <c r="J5" s="2"/>
      <c r="K5" s="2"/>
      <c r="L5" s="2"/>
    </row>
    <row r="6" customFormat="false" ht="27.75" hidden="false" customHeight="true" outlineLevel="0" collapsed="false">
      <c r="A6" s="2"/>
      <c r="B6" s="90" t="n">
        <v>2</v>
      </c>
      <c r="C6" s="33" t="s">
        <v>238</v>
      </c>
      <c r="D6" s="64" t="n">
        <v>0.4</v>
      </c>
      <c r="E6" s="64" t="n">
        <v>0.3</v>
      </c>
      <c r="F6" s="106" t="n">
        <f aca="false">D6*E6</f>
        <v>0.12</v>
      </c>
      <c r="G6" s="33" t="s">
        <v>239</v>
      </c>
      <c r="H6" s="2"/>
      <c r="I6" s="2"/>
      <c r="J6" s="2"/>
      <c r="K6" s="2"/>
      <c r="L6" s="2"/>
    </row>
    <row r="7" customFormat="false" ht="27.75" hidden="false" customHeight="true" outlineLevel="0" collapsed="false">
      <c r="A7" s="2"/>
      <c r="B7" s="90" t="n">
        <v>3</v>
      </c>
      <c r="C7" s="33" t="s">
        <v>240</v>
      </c>
      <c r="D7" s="64" t="n">
        <v>0.25</v>
      </c>
      <c r="E7" s="64" t="n">
        <v>0.25</v>
      </c>
      <c r="F7" s="106" t="n">
        <f aca="false">D7*E7</f>
        <v>0.0625</v>
      </c>
      <c r="G7" s="33" t="s">
        <v>241</v>
      </c>
      <c r="H7" s="2"/>
      <c r="I7" s="2"/>
      <c r="J7" s="2"/>
      <c r="K7" s="2"/>
      <c r="L7" s="2"/>
    </row>
    <row r="8" customFormat="false" ht="27.75" hidden="false" customHeight="true" outlineLevel="0" collapsed="false">
      <c r="A8" s="2"/>
      <c r="B8" s="90" t="n">
        <v>4</v>
      </c>
      <c r="C8" s="33" t="s">
        <v>242</v>
      </c>
      <c r="D8" s="64" t="n">
        <v>0.2</v>
      </c>
      <c r="E8" s="64" t="n">
        <v>0.3</v>
      </c>
      <c r="F8" s="106" t="n">
        <f aca="false">D8*E8</f>
        <v>0.06</v>
      </c>
      <c r="G8" s="33" t="s">
        <v>243</v>
      </c>
      <c r="H8" s="2"/>
      <c r="I8" s="2"/>
      <c r="J8" s="2"/>
      <c r="K8" s="2"/>
      <c r="L8" s="2"/>
    </row>
    <row r="9" customFormat="false" ht="27.75" hidden="false" customHeight="true" outlineLevel="0" collapsed="false">
      <c r="A9" s="2"/>
      <c r="B9" s="90" t="n">
        <v>5</v>
      </c>
      <c r="C9" s="33" t="s">
        <v>244</v>
      </c>
      <c r="D9" s="64" t="n">
        <v>0.35</v>
      </c>
      <c r="E9" s="64" t="n">
        <v>0.2</v>
      </c>
      <c r="F9" s="106" t="n">
        <f aca="false">D9*E9</f>
        <v>0.07</v>
      </c>
      <c r="G9" s="33" t="s">
        <v>245</v>
      </c>
      <c r="H9" s="2"/>
      <c r="I9" s="2"/>
      <c r="J9" s="2"/>
      <c r="K9" s="2"/>
      <c r="L9" s="2"/>
    </row>
    <row r="10" customFormat="false" ht="27.75" hidden="false" customHeight="true" outlineLevel="0" collapsed="false">
      <c r="A10" s="2"/>
      <c r="B10" s="90" t="n">
        <v>6</v>
      </c>
      <c r="C10" s="33" t="s">
        <v>246</v>
      </c>
      <c r="D10" s="64" t="n">
        <v>0.15</v>
      </c>
      <c r="E10" s="64" t="n">
        <v>0.35</v>
      </c>
      <c r="F10" s="106" t="n">
        <f aca="false">D10*E10</f>
        <v>0.0525</v>
      </c>
      <c r="G10" s="33" t="s">
        <v>247</v>
      </c>
      <c r="H10" s="2"/>
      <c r="I10" s="2"/>
      <c r="J10" s="2"/>
      <c r="K10" s="2"/>
      <c r="L10" s="2"/>
    </row>
    <row r="11" customFormat="false" ht="27.75" hidden="false" customHeight="true" outlineLevel="0" collapsed="false">
      <c r="A11" s="2"/>
      <c r="B11" s="90" t="n">
        <v>7</v>
      </c>
      <c r="C11" s="33" t="s">
        <v>248</v>
      </c>
      <c r="D11" s="64" t="n">
        <v>0.25</v>
      </c>
      <c r="E11" s="64" t="n">
        <v>0.25</v>
      </c>
      <c r="F11" s="106" t="n">
        <f aca="false">D11*E11</f>
        <v>0.0625</v>
      </c>
      <c r="G11" s="33" t="s">
        <v>249</v>
      </c>
      <c r="H11" s="2"/>
      <c r="I11" s="2"/>
      <c r="J11" s="2"/>
      <c r="K11" s="2"/>
      <c r="L11" s="2"/>
    </row>
    <row r="12" customFormat="false" ht="27.75" hidden="false" customHeight="true" outlineLevel="0" collapsed="false">
      <c r="A12" s="2"/>
      <c r="B12" s="90" t="n">
        <v>8</v>
      </c>
      <c r="C12" s="33" t="s">
        <v>250</v>
      </c>
      <c r="D12" s="64" t="n">
        <v>0.1</v>
      </c>
      <c r="E12" s="64" t="n">
        <v>0.2</v>
      </c>
      <c r="F12" s="106" t="n">
        <f aca="false">D12*E12</f>
        <v>0.02</v>
      </c>
      <c r="G12" s="33" t="s">
        <v>251</v>
      </c>
      <c r="H12" s="2"/>
      <c r="I12" s="2"/>
      <c r="J12" s="2"/>
      <c r="K12" s="2"/>
      <c r="L12" s="2"/>
    </row>
    <row r="13" customFormat="false" ht="14.25" hidden="false" customHeight="true" outlineLevel="0" collapsed="false">
      <c r="A13" s="2"/>
      <c r="B13" s="107"/>
      <c r="C13" s="108"/>
      <c r="D13" s="109"/>
      <c r="E13" s="109"/>
      <c r="F13" s="106" t="str">
        <f aca="false">IF(AND(D13&lt;&gt;"",E13&lt;&gt;""),D13*E13,"")</f>
        <v/>
      </c>
      <c r="G13" s="108"/>
      <c r="H13" s="2"/>
      <c r="I13" s="2"/>
      <c r="J13" s="2"/>
      <c r="K13" s="2"/>
      <c r="L13" s="2"/>
    </row>
    <row r="14" customFormat="false" ht="14.25" hidden="false" customHeight="true" outlineLevel="0" collapsed="false">
      <c r="A14" s="2"/>
      <c r="B14" s="107"/>
      <c r="C14" s="108"/>
      <c r="D14" s="109"/>
      <c r="E14" s="109"/>
      <c r="F14" s="106" t="str">
        <f aca="false">IF(AND(D14&lt;&gt;"",E14&lt;&gt;""),D14*E14,"")</f>
        <v/>
      </c>
      <c r="G14" s="108"/>
      <c r="H14" s="2"/>
      <c r="I14" s="2"/>
      <c r="J14" s="2"/>
      <c r="K14" s="2"/>
      <c r="L14" s="2"/>
    </row>
    <row r="15" customFormat="false" ht="14.25" hidden="false" customHeight="tru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customFormat="false" ht="17.25" hidden="false" customHeight="true" outlineLevel="0" collapsed="false">
      <c r="A16" s="2"/>
      <c r="B16" s="2"/>
      <c r="C16" s="50" t="s">
        <v>211</v>
      </c>
      <c r="D16" s="50"/>
      <c r="E16" s="50"/>
      <c r="F16" s="110" t="n">
        <f aca="false">IFERROR(SUMPRODUCT(D5:D14,E5:E14)/COUNTA(C5:C14),0)</f>
        <v>0.0634375</v>
      </c>
      <c r="G16" s="2"/>
      <c r="H16" s="2"/>
      <c r="I16" s="2"/>
      <c r="J16" s="2"/>
      <c r="K16" s="2"/>
      <c r="L16" s="2"/>
    </row>
    <row r="17" customFormat="false" ht="14.25" hidden="false" customHeight="tru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customFormat="false" ht="14.25" hidden="false" customHeight="true" outlineLevel="0" collapsed="false">
      <c r="A18" s="2"/>
      <c r="B18" s="2"/>
      <c r="C18" s="111" t="s">
        <v>252</v>
      </c>
      <c r="D18" s="2"/>
      <c r="E18" s="2"/>
      <c r="F18" s="2"/>
      <c r="G18" s="2"/>
      <c r="H18" s="2"/>
      <c r="I18" s="2"/>
      <c r="J18" s="2"/>
      <c r="K18" s="2"/>
      <c r="L18" s="2"/>
    </row>
    <row r="19" customFormat="false" ht="15" hidden="false" customHeight="true" outlineLevel="0" collapsed="false">
      <c r="A19" s="2"/>
      <c r="B19" s="2"/>
      <c r="C19" s="24" t="s">
        <v>253</v>
      </c>
      <c r="D19" s="22" t="s">
        <v>254</v>
      </c>
      <c r="E19" s="22"/>
      <c r="F19" s="22"/>
      <c r="G19" s="22"/>
      <c r="H19" s="2"/>
      <c r="I19" s="2"/>
      <c r="J19" s="2"/>
      <c r="K19" s="2"/>
      <c r="L19" s="2"/>
    </row>
    <row r="20" customFormat="false" ht="15" hidden="false" customHeight="true" outlineLevel="0" collapsed="false">
      <c r="A20" s="2"/>
      <c r="B20" s="2"/>
      <c r="C20" s="26" t="s">
        <v>255</v>
      </c>
      <c r="D20" s="22" t="s">
        <v>256</v>
      </c>
      <c r="E20" s="22"/>
      <c r="F20" s="22"/>
      <c r="G20" s="22"/>
      <c r="H20" s="2"/>
      <c r="I20" s="2"/>
      <c r="J20" s="2"/>
      <c r="K20" s="2"/>
      <c r="L20" s="2"/>
    </row>
    <row r="21" customFormat="false" ht="15" hidden="false" customHeight="true" outlineLevel="0" collapsed="false">
      <c r="A21" s="2"/>
      <c r="B21" s="2"/>
      <c r="C21" s="25" t="s">
        <v>257</v>
      </c>
      <c r="D21" s="22" t="s">
        <v>258</v>
      </c>
      <c r="E21" s="22"/>
      <c r="F21" s="22"/>
      <c r="G21" s="22"/>
      <c r="H21" s="2"/>
      <c r="I21" s="2"/>
      <c r="J21" s="2"/>
      <c r="K21" s="2"/>
      <c r="L21" s="2"/>
    </row>
    <row r="22" customFormat="false" ht="14.25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customFormat="false" ht="14.25" hidden="false" customHeight="tru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customFormat="false" ht="14.25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customFormat="false" ht="14.25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customFormat="false" ht="14.2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customFormat="false" ht="14.2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customFormat="false" ht="14.2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customFormat="false" ht="14.2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customFormat="false" ht="14.2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</sheetData>
  <mergeCells count="5">
    <mergeCell ref="B2:G2"/>
    <mergeCell ref="C16:E16"/>
    <mergeCell ref="D19:G19"/>
    <mergeCell ref="D20:G20"/>
    <mergeCell ref="D21:G21"/>
  </mergeCells>
  <conditionalFormatting sqref="F5:F14">
    <cfRule type="cellIs" priority="2" operator="greaterThan" aboveAverage="0" equalAverage="0" bottom="0" percent="0" rank="0" text="" dxfId="1">
      <formula>0.15</formula>
    </cfRule>
    <cfRule type="cellIs" priority="3" operator="between" aboveAverage="0" equalAverage="0" bottom="0" percent="0" rank="0" text="" dxfId="4">
      <formula>0.08</formula>
      <formula>0.15</formula>
    </cfRule>
    <cfRule type="cellIs" priority="4" operator="lessThanOrEqual" aboveAverage="0" equalAverage="0" bottom="0" percent="0" rank="0" text="" dxfId="0">
      <formula>0.08</formula>
    </cfRule>
  </conditionalFormatting>
  <printOptions headings="false" gridLines="false" gridLinesSet="true" horizontalCentered="tru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490"/>
    <pageSetUpPr fitToPage="true"/>
  </sheetPr>
  <dimension ref="A1:L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5"/>
    <col collapsed="false" customWidth="true" hidden="false" outlineLevel="0" max="3" min="3" style="1" width="20"/>
    <col collapsed="false" customWidth="true" hidden="false" outlineLevel="0" max="4" min="4" style="1" width="30"/>
  </cols>
  <sheetData>
    <row r="1" customFormat="false" ht="14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7.25" hidden="false" customHeight="true" outlineLevel="0" collapsed="false">
      <c r="A2" s="2"/>
      <c r="B2" s="16" t="s">
        <v>259</v>
      </c>
      <c r="C2" s="16"/>
      <c r="D2" s="16"/>
      <c r="E2" s="2"/>
      <c r="F2" s="2"/>
      <c r="G2" s="2"/>
      <c r="H2" s="2"/>
      <c r="I2" s="2"/>
      <c r="J2" s="2"/>
      <c r="K2" s="2"/>
      <c r="L2" s="2"/>
    </row>
    <row r="3" customFormat="false" ht="14.2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23.25" hidden="false" customHeight="true" outlineLevel="0" collapsed="false">
      <c r="A4" s="2"/>
      <c r="B4" s="53" t="s">
        <v>260</v>
      </c>
      <c r="C4" s="2"/>
      <c r="D4" s="2"/>
      <c r="E4" s="2"/>
      <c r="F4" s="2"/>
      <c r="G4" s="2"/>
      <c r="H4" s="2"/>
      <c r="I4" s="2"/>
      <c r="J4" s="2"/>
      <c r="K4" s="2"/>
      <c r="L4" s="2"/>
    </row>
    <row r="5" customFormat="false" ht="14.2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customFormat="false" ht="17.25" hidden="false" customHeight="true" outlineLevel="0" collapsed="false">
      <c r="A6" s="2"/>
      <c r="B6" s="28" t="s">
        <v>261</v>
      </c>
      <c r="C6" s="29"/>
      <c r="D6" s="29"/>
      <c r="E6" s="2"/>
      <c r="F6" s="2"/>
      <c r="G6" s="2"/>
      <c r="H6" s="2"/>
      <c r="I6" s="2"/>
      <c r="J6" s="2"/>
      <c r="K6" s="2"/>
      <c r="L6" s="2"/>
    </row>
    <row r="7" customFormat="false" ht="41.25" hidden="false" customHeight="true" outlineLevel="0" collapsed="false">
      <c r="A7" s="2"/>
      <c r="B7" s="30" t="s">
        <v>77</v>
      </c>
      <c r="C7" s="112" t="s">
        <v>262</v>
      </c>
      <c r="D7" s="2"/>
      <c r="E7" s="2"/>
      <c r="F7" s="2"/>
      <c r="G7" s="2"/>
      <c r="H7" s="2"/>
      <c r="I7" s="2"/>
      <c r="J7" s="2"/>
      <c r="K7" s="2"/>
      <c r="L7" s="2"/>
    </row>
    <row r="8" customFormat="false" ht="14.25" hidden="false" customHeight="true" outlineLevel="0" collapsed="false">
      <c r="A8" s="2"/>
      <c r="B8" s="30" t="s">
        <v>79</v>
      </c>
      <c r="C8" s="112" t="s">
        <v>263</v>
      </c>
      <c r="D8" s="2"/>
      <c r="E8" s="2"/>
      <c r="F8" s="2"/>
      <c r="G8" s="2"/>
      <c r="H8" s="2"/>
      <c r="I8" s="2"/>
      <c r="J8" s="2"/>
      <c r="K8" s="2"/>
      <c r="L8" s="2"/>
    </row>
    <row r="9" customFormat="false" ht="27.75" hidden="false" customHeight="true" outlineLevel="0" collapsed="false">
      <c r="A9" s="2"/>
      <c r="B9" s="30" t="s">
        <v>81</v>
      </c>
      <c r="C9" s="112" t="s">
        <v>82</v>
      </c>
      <c r="D9" s="2"/>
      <c r="E9" s="2"/>
      <c r="F9" s="2"/>
      <c r="G9" s="2"/>
      <c r="H9" s="2"/>
      <c r="I9" s="2"/>
      <c r="J9" s="2"/>
      <c r="K9" s="2"/>
      <c r="L9" s="2"/>
    </row>
    <row r="10" customFormat="false" ht="14.25" hidden="false" customHeight="true" outlineLevel="0" collapsed="false">
      <c r="A10" s="2"/>
      <c r="B10" s="30" t="s">
        <v>84</v>
      </c>
      <c r="C10" s="112" t="s">
        <v>85</v>
      </c>
      <c r="D10" s="2"/>
      <c r="E10" s="2"/>
      <c r="F10" s="2"/>
      <c r="G10" s="2"/>
      <c r="H10" s="2"/>
      <c r="I10" s="2"/>
      <c r="J10" s="2"/>
      <c r="K10" s="2"/>
      <c r="L10" s="2"/>
    </row>
    <row r="11" customFormat="false" ht="14.25" hidden="false" customHeight="true" outlineLevel="0" collapsed="false">
      <c r="A11" s="2"/>
      <c r="B11" s="30" t="s">
        <v>264</v>
      </c>
      <c r="C11" s="112" t="s">
        <v>265</v>
      </c>
      <c r="D11" s="2"/>
      <c r="E11" s="2"/>
      <c r="F11" s="2"/>
      <c r="G11" s="2"/>
      <c r="H11" s="2"/>
      <c r="I11" s="2"/>
      <c r="J11" s="2"/>
      <c r="K11" s="2"/>
      <c r="L11" s="2"/>
    </row>
    <row r="12" customFormat="false" ht="14.25" hidden="false" customHeight="true" outlineLevel="0" collapsed="false">
      <c r="A12" s="2"/>
      <c r="B12" s="30" t="s">
        <v>266</v>
      </c>
      <c r="C12" s="112" t="s">
        <v>267</v>
      </c>
      <c r="D12" s="2"/>
      <c r="E12" s="2"/>
      <c r="F12" s="2"/>
      <c r="G12" s="2"/>
      <c r="H12" s="2"/>
      <c r="I12" s="2"/>
      <c r="J12" s="2"/>
      <c r="K12" s="2"/>
      <c r="L12" s="2"/>
    </row>
    <row r="13" customFormat="false" ht="14.25" hidden="false" customHeight="true" outlineLevel="0" collapsed="false">
      <c r="A13" s="2"/>
      <c r="B13" s="30" t="s">
        <v>268</v>
      </c>
      <c r="C13" s="112" t="s">
        <v>269</v>
      </c>
      <c r="D13" s="2"/>
      <c r="E13" s="2"/>
      <c r="F13" s="2"/>
      <c r="G13" s="2"/>
      <c r="H13" s="2"/>
      <c r="I13" s="2"/>
      <c r="J13" s="2"/>
      <c r="K13" s="2"/>
      <c r="L13" s="2"/>
    </row>
    <row r="14" customFormat="false" ht="14.25" hidden="false" customHeight="true" outlineLevel="0" collapsed="false">
      <c r="A14" s="2"/>
      <c r="B14" s="30" t="s">
        <v>270</v>
      </c>
      <c r="C14" s="112" t="s">
        <v>271</v>
      </c>
      <c r="D14" s="2"/>
      <c r="E14" s="2"/>
      <c r="F14" s="2"/>
      <c r="G14" s="2"/>
      <c r="H14" s="2"/>
      <c r="I14" s="2"/>
      <c r="J14" s="2"/>
      <c r="K14" s="2"/>
      <c r="L14" s="2"/>
    </row>
    <row r="15" customFormat="false" ht="14.25" hidden="false" customHeight="true" outlineLevel="0" collapsed="false">
      <c r="A15" s="2"/>
      <c r="B15" s="30" t="s">
        <v>97</v>
      </c>
      <c r="C15" s="112" t="s">
        <v>272</v>
      </c>
      <c r="D15" s="2"/>
      <c r="E15" s="2"/>
      <c r="F15" s="2"/>
      <c r="G15" s="2"/>
      <c r="H15" s="2"/>
      <c r="I15" s="2"/>
      <c r="J15" s="2"/>
      <c r="K15" s="2"/>
      <c r="L15" s="2"/>
    </row>
    <row r="16" customFormat="false" ht="14.25" hidden="false" customHeight="true" outlineLevel="0" collapsed="false">
      <c r="A16" s="2"/>
      <c r="B16" s="30" t="s">
        <v>99</v>
      </c>
      <c r="C16" s="112" t="n">
        <v>8500</v>
      </c>
      <c r="D16" s="2"/>
      <c r="E16" s="2"/>
      <c r="F16" s="2"/>
      <c r="G16" s="2"/>
      <c r="H16" s="2"/>
      <c r="I16" s="2"/>
      <c r="J16" s="2"/>
      <c r="K16" s="2"/>
      <c r="L16" s="2"/>
    </row>
    <row r="17" customFormat="false" ht="14.25" hidden="false" customHeight="true" outlineLevel="0" collapsed="false">
      <c r="A17" s="2"/>
      <c r="B17" s="30" t="s">
        <v>101</v>
      </c>
      <c r="C17" s="112" t="n">
        <v>12</v>
      </c>
      <c r="D17" s="2"/>
      <c r="E17" s="2"/>
      <c r="F17" s="2"/>
      <c r="G17" s="2"/>
      <c r="H17" s="2"/>
      <c r="I17" s="2"/>
      <c r="J17" s="2"/>
      <c r="K17" s="2"/>
      <c r="L17" s="2"/>
    </row>
    <row r="18" customFormat="false" ht="14.25" hidden="false" customHeight="true" outlineLevel="0" collapsed="false">
      <c r="A18" s="2"/>
      <c r="B18" s="30" t="s">
        <v>273</v>
      </c>
      <c r="C18" s="112" t="s">
        <v>274</v>
      </c>
      <c r="D18" s="2"/>
      <c r="E18" s="2"/>
      <c r="F18" s="2"/>
      <c r="G18" s="2"/>
      <c r="H18" s="2"/>
      <c r="I18" s="2"/>
      <c r="J18" s="2"/>
      <c r="K18" s="2"/>
      <c r="L18" s="2"/>
    </row>
    <row r="19" customFormat="false" ht="14.25" hidden="false" customHeight="tru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customFormat="false" ht="17.25" hidden="false" customHeight="true" outlineLevel="0" collapsed="false">
      <c r="A20" s="2"/>
      <c r="B20" s="28" t="s">
        <v>275</v>
      </c>
      <c r="C20" s="29"/>
      <c r="D20" s="29"/>
      <c r="E20" s="2"/>
      <c r="F20" s="2"/>
      <c r="G20" s="2"/>
      <c r="H20" s="2"/>
      <c r="I20" s="2"/>
      <c r="J20" s="2"/>
      <c r="K20" s="2"/>
      <c r="L20" s="2"/>
    </row>
    <row r="21" customFormat="false" ht="41.25" hidden="false" customHeight="true" outlineLevel="0" collapsed="false">
      <c r="A21" s="2"/>
      <c r="B21" s="30" t="s">
        <v>117</v>
      </c>
      <c r="C21" s="112" t="s">
        <v>276</v>
      </c>
      <c r="D21" s="2"/>
      <c r="E21" s="2"/>
      <c r="F21" s="2"/>
      <c r="G21" s="2"/>
      <c r="H21" s="2"/>
      <c r="I21" s="2"/>
      <c r="J21" s="2"/>
      <c r="K21" s="2"/>
      <c r="L21" s="2"/>
    </row>
    <row r="22" customFormat="false" ht="27.75" hidden="false" customHeight="true" outlineLevel="0" collapsed="false">
      <c r="A22" s="2"/>
      <c r="B22" s="30" t="s">
        <v>119</v>
      </c>
      <c r="C22" s="112" t="s">
        <v>277</v>
      </c>
      <c r="D22" s="2"/>
      <c r="E22" s="2"/>
      <c r="F22" s="2"/>
      <c r="G22" s="2"/>
      <c r="H22" s="2"/>
      <c r="I22" s="2"/>
      <c r="J22" s="2"/>
      <c r="K22" s="2"/>
      <c r="L22" s="2"/>
    </row>
    <row r="23" customFormat="false" ht="41.25" hidden="false" customHeight="true" outlineLevel="0" collapsed="false">
      <c r="A23" s="2"/>
      <c r="B23" s="30" t="s">
        <v>121</v>
      </c>
      <c r="C23" s="112" t="s">
        <v>278</v>
      </c>
      <c r="D23" s="2"/>
      <c r="E23" s="2"/>
      <c r="F23" s="2"/>
      <c r="G23" s="2"/>
      <c r="H23" s="2"/>
      <c r="I23" s="2"/>
      <c r="J23" s="2"/>
      <c r="K23" s="2"/>
      <c r="L23" s="2"/>
    </row>
    <row r="24" customFormat="false" ht="41.25" hidden="false" customHeight="true" outlineLevel="0" collapsed="false">
      <c r="A24" s="2"/>
      <c r="B24" s="30" t="s">
        <v>123</v>
      </c>
      <c r="C24" s="112" t="s">
        <v>279</v>
      </c>
      <c r="D24" s="2"/>
      <c r="E24" s="2"/>
      <c r="F24" s="2"/>
      <c r="G24" s="2"/>
      <c r="H24" s="2"/>
      <c r="I24" s="2"/>
      <c r="J24" s="2"/>
      <c r="K24" s="2"/>
      <c r="L24" s="2"/>
    </row>
    <row r="25" customFormat="false" ht="41.25" hidden="false" customHeight="true" outlineLevel="0" collapsed="false">
      <c r="A25" s="2"/>
      <c r="B25" s="30" t="s">
        <v>125</v>
      </c>
      <c r="C25" s="112" t="s">
        <v>280</v>
      </c>
      <c r="D25" s="2"/>
      <c r="E25" s="2"/>
      <c r="F25" s="2"/>
      <c r="G25" s="2"/>
      <c r="H25" s="2"/>
      <c r="I25" s="2"/>
      <c r="J25" s="2"/>
      <c r="K25" s="2"/>
      <c r="L25" s="2"/>
    </row>
    <row r="26" customFormat="false" ht="41.25" hidden="false" customHeight="true" outlineLevel="0" collapsed="false">
      <c r="A26" s="2"/>
      <c r="B26" s="30" t="s">
        <v>281</v>
      </c>
      <c r="C26" s="112" t="s">
        <v>282</v>
      </c>
      <c r="D26" s="2"/>
      <c r="E26" s="2"/>
      <c r="F26" s="2"/>
      <c r="G26" s="2"/>
      <c r="H26" s="2"/>
      <c r="I26" s="2"/>
      <c r="J26" s="2"/>
      <c r="K26" s="2"/>
      <c r="L26" s="2"/>
    </row>
    <row r="27" customFormat="false" ht="14.2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customFormat="false" ht="17.25" hidden="false" customHeight="true" outlineLevel="0" collapsed="false">
      <c r="A28" s="2"/>
      <c r="B28" s="28" t="s">
        <v>283</v>
      </c>
      <c r="C28" s="29"/>
      <c r="D28" s="29"/>
      <c r="E28" s="2"/>
      <c r="F28" s="2"/>
      <c r="G28" s="2"/>
      <c r="H28" s="2"/>
      <c r="I28" s="2"/>
      <c r="J28" s="2"/>
      <c r="K28" s="2"/>
      <c r="L28" s="2"/>
    </row>
    <row r="29" customFormat="false" ht="27.75" hidden="false" customHeight="true" outlineLevel="0" collapsed="false">
      <c r="A29" s="2"/>
      <c r="B29" s="30" t="s">
        <v>157</v>
      </c>
      <c r="C29" s="112" t="s">
        <v>284</v>
      </c>
      <c r="D29" s="2"/>
      <c r="E29" s="2"/>
      <c r="F29" s="2"/>
      <c r="G29" s="2"/>
      <c r="H29" s="2"/>
      <c r="I29" s="2"/>
      <c r="J29" s="2"/>
      <c r="K29" s="2"/>
      <c r="L29" s="2"/>
    </row>
    <row r="30" customFormat="false" ht="14.25" hidden="false" customHeight="true" outlineLevel="0" collapsed="false">
      <c r="A30" s="2"/>
      <c r="B30" s="30" t="s">
        <v>139</v>
      </c>
      <c r="C30" s="112" t="s">
        <v>285</v>
      </c>
      <c r="D30" s="2"/>
      <c r="E30" s="2"/>
      <c r="F30" s="2"/>
      <c r="G30" s="2"/>
      <c r="H30" s="2"/>
      <c r="I30" s="2"/>
      <c r="J30" s="2"/>
      <c r="K30" s="2"/>
      <c r="L30" s="2"/>
    </row>
    <row r="31" customFormat="false" ht="14.25" hidden="false" customHeight="true" outlineLevel="0" collapsed="false">
      <c r="A31" s="2"/>
      <c r="B31" s="30" t="s">
        <v>142</v>
      </c>
      <c r="C31" s="112" t="s">
        <v>286</v>
      </c>
      <c r="D31" s="2"/>
      <c r="E31" s="2"/>
      <c r="F31" s="2"/>
      <c r="G31" s="2"/>
      <c r="H31" s="2"/>
      <c r="I31" s="2"/>
      <c r="J31" s="2"/>
      <c r="K31" s="2"/>
      <c r="L31" s="2"/>
    </row>
    <row r="32" customFormat="false" ht="14.25" hidden="false" customHeight="true" outlineLevel="0" collapsed="false">
      <c r="A32" s="2"/>
      <c r="B32" s="30" t="s">
        <v>144</v>
      </c>
      <c r="C32" s="112" t="s">
        <v>287</v>
      </c>
      <c r="D32" s="2"/>
      <c r="E32" s="2"/>
      <c r="F32" s="2"/>
      <c r="G32" s="2"/>
      <c r="H32" s="2"/>
      <c r="I32" s="2"/>
      <c r="J32" s="2"/>
      <c r="K32" s="2"/>
      <c r="L32" s="2"/>
    </row>
    <row r="33" customFormat="false" ht="14.25" hidden="false" customHeight="true" outlineLevel="0" collapsed="false">
      <c r="A33" s="2"/>
      <c r="B33" s="30" t="s">
        <v>146</v>
      </c>
      <c r="C33" s="112" t="s">
        <v>288</v>
      </c>
      <c r="D33" s="2"/>
      <c r="E33" s="2"/>
      <c r="F33" s="2"/>
      <c r="G33" s="2"/>
      <c r="H33" s="2"/>
      <c r="I33" s="2"/>
      <c r="J33" s="2"/>
      <c r="K33" s="2"/>
      <c r="L33" s="2"/>
    </row>
    <row r="34" customFormat="false" ht="14.25" hidden="false" customHeight="true" outlineLevel="0" collapsed="false">
      <c r="A34" s="2"/>
      <c r="B34" s="30" t="s">
        <v>148</v>
      </c>
      <c r="C34" s="112" t="s">
        <v>289</v>
      </c>
      <c r="D34" s="2"/>
      <c r="E34" s="2"/>
      <c r="F34" s="2"/>
      <c r="G34" s="2"/>
      <c r="H34" s="2"/>
      <c r="I34" s="2"/>
      <c r="J34" s="2"/>
      <c r="K34" s="2"/>
      <c r="L34" s="2"/>
    </row>
    <row r="35" customFormat="false" ht="14.2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customFormat="false" ht="27.75" hidden="false" customHeight="true" outlineLevel="0" collapsed="false">
      <c r="A36" s="2"/>
      <c r="B36" s="113" t="s">
        <v>290</v>
      </c>
      <c r="C36" s="2"/>
      <c r="D36" s="2"/>
      <c r="E36" s="2"/>
      <c r="F36" s="2"/>
      <c r="G36" s="2"/>
      <c r="H36" s="2"/>
      <c r="I36" s="2"/>
      <c r="J36" s="2"/>
      <c r="K36" s="2"/>
      <c r="L36" s="2"/>
    </row>
    <row r="37" customFormat="false" ht="14.25" hidden="false" customHeight="true" outlineLevel="0" collapsed="false">
      <c r="A37" s="2"/>
      <c r="B37" s="53" t="s">
        <v>291</v>
      </c>
      <c r="C37" s="114" t="s">
        <v>292</v>
      </c>
      <c r="D37" s="2"/>
      <c r="E37" s="2"/>
      <c r="F37" s="2"/>
      <c r="G37" s="2"/>
      <c r="H37" s="2"/>
      <c r="I37" s="2"/>
      <c r="J37" s="2"/>
      <c r="K37" s="2"/>
      <c r="L37" s="2"/>
    </row>
    <row r="38" customFormat="false" ht="14.25" hidden="false" customHeight="true" outlineLevel="0" collapsed="false">
      <c r="A38" s="2"/>
      <c r="B38" s="53" t="s">
        <v>293</v>
      </c>
      <c r="C38" s="114" t="s">
        <v>294</v>
      </c>
      <c r="D38" s="2"/>
      <c r="E38" s="2"/>
      <c r="F38" s="2"/>
      <c r="G38" s="2"/>
      <c r="H38" s="2"/>
      <c r="I38" s="2"/>
      <c r="J38" s="2"/>
      <c r="K38" s="2"/>
      <c r="L38" s="2"/>
    </row>
    <row r="39" customFormat="false" ht="14.25" hidden="false" customHeight="true" outlineLevel="0" collapsed="false">
      <c r="A39" s="2"/>
      <c r="B39" s="53" t="s">
        <v>295</v>
      </c>
      <c r="C39" s="114" t="s">
        <v>296</v>
      </c>
      <c r="D39" s="2"/>
      <c r="E39" s="2"/>
      <c r="F39" s="2"/>
      <c r="G39" s="2"/>
      <c r="H39" s="2"/>
      <c r="I39" s="2"/>
      <c r="J39" s="2"/>
      <c r="K39" s="2"/>
      <c r="L39" s="2"/>
    </row>
    <row r="40" customFormat="false" ht="14.25" hidden="false" customHeight="true" outlineLevel="0" collapsed="false">
      <c r="A40" s="2"/>
      <c r="B40" s="53" t="s">
        <v>297</v>
      </c>
      <c r="C40" s="114" t="s">
        <v>298</v>
      </c>
      <c r="D40" s="2"/>
      <c r="E40" s="2"/>
      <c r="F40" s="2"/>
      <c r="G40" s="2"/>
      <c r="H40" s="2"/>
      <c r="I40" s="2"/>
      <c r="J40" s="2"/>
      <c r="K40" s="2"/>
      <c r="L40" s="2"/>
    </row>
    <row r="41" customFormat="false" ht="14.25" hidden="false" customHeight="true" outlineLevel="0" collapsed="false">
      <c r="A41" s="2"/>
      <c r="B41" s="53" t="s">
        <v>175</v>
      </c>
      <c r="C41" s="114" t="s">
        <v>299</v>
      </c>
      <c r="D41" s="2"/>
      <c r="E41" s="2"/>
      <c r="F41" s="2"/>
      <c r="G41" s="2"/>
      <c r="H41" s="2"/>
      <c r="I41" s="2"/>
      <c r="J41" s="2"/>
      <c r="K41" s="2"/>
      <c r="L41" s="2"/>
    </row>
    <row r="42" customFormat="false" ht="14.2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customFormat="false" ht="14.2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customFormat="false" ht="14.2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customFormat="false" ht="14.2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</sheetData>
  <mergeCells count="1">
    <mergeCell ref="B2:D2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true"/>
  </sheetPr>
  <dimension ref="A1:G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5"/>
  </cols>
  <sheetData>
    <row r="1" customFormat="false" ht="14.25" hidden="false" customHeight="true" outlineLevel="0" collapsed="false">
      <c r="A1" s="115" t="s">
        <v>300</v>
      </c>
    </row>
    <row r="2" customFormat="false" ht="14.25" hidden="false" customHeight="true" outlineLevel="0" collapsed="false">
      <c r="A2" s="116" t="s">
        <v>266</v>
      </c>
      <c r="B2" s="117" t="n">
        <f aca="false">'Project Setup'!C10</f>
        <v>12</v>
      </c>
    </row>
    <row r="3" customFormat="false" ht="14.25" hidden="false" customHeight="true" outlineLevel="0" collapsed="false">
      <c r="A3" s="116" t="s">
        <v>301</v>
      </c>
      <c r="B3" s="118" t="n">
        <f aca="false">-Scenarios!D9+Financials!E11/((1+B2)^1)+Financials!E12/((1+B2)^2)+Financials!E13/((1+B2)^3)+Financials!E14/((1+B2)^4)+Financials!E15/((1+B2)^5)</f>
        <v>0</v>
      </c>
    </row>
    <row r="4" customFormat="false" ht="14.25" hidden="false" customHeight="true" outlineLevel="0" collapsed="false">
      <c r="A4" s="116" t="s">
        <v>302</v>
      </c>
      <c r="B4" s="117" t="n">
        <f aca="false">IFERROR(IRR(B6:G6),0)</f>
        <v>0</v>
      </c>
    </row>
    <row r="6" customFormat="false" ht="14.25" hidden="false" customHeight="true" outlineLevel="0" collapsed="false">
      <c r="A6" s="119" t="s">
        <v>303</v>
      </c>
      <c r="B6" s="118" t="n">
        <f aca="false">Financials!E10</f>
        <v>-0</v>
      </c>
      <c r="C6" s="118" t="n">
        <f aca="false">Financials!E11</f>
        <v>0</v>
      </c>
      <c r="D6" s="118" t="n">
        <f aca="false">Financials!E12</f>
        <v>0</v>
      </c>
      <c r="E6" s="118" t="n">
        <f aca="false">Financials!E13</f>
        <v>0</v>
      </c>
      <c r="F6" s="118" t="n">
        <f aca="false">Financials!E14</f>
        <v>0</v>
      </c>
      <c r="G6" s="118" t="n">
        <f aca="false">Financials!E15</f>
        <v>0</v>
      </c>
    </row>
    <row r="8" customFormat="false" ht="14.25" hidden="false" customHeight="true" outlineLevel="0" collapsed="false">
      <c r="A8" s="116" t="s">
        <v>211</v>
      </c>
      <c r="B8" s="117" t="n">
        <f aca="false">IFERROR(SUMPRODUCT('Risk Register'!D5:D14,'Risk Register'!E5:E14)/COUNTA('Risk Register'!B5:B14),0)</f>
        <v>0.0634375</v>
      </c>
    </row>
  </sheetData>
  <printOptions headings="false" gridLines="false" gridLinesSet="true" horizontalCentered="tru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84F58"/>
    <pageSetUpPr fitToPage="tru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sheetData>
    <row r="1" customFormat="false" ht="14.25" hidden="false" customHeight="true" outlineLevel="0" collapsed="false">
      <c r="A1" s="120" t="s">
        <v>304</v>
      </c>
    </row>
    <row r="2" customFormat="false" ht="14.25" hidden="false" customHeight="true" outlineLevel="0" collapsed="false">
      <c r="A2" s="1" t="s">
        <v>81</v>
      </c>
      <c r="B2" s="1" t="s">
        <v>84</v>
      </c>
      <c r="C2" s="1" t="s">
        <v>86</v>
      </c>
    </row>
    <row r="3" customFormat="false" ht="14.25" hidden="false" customHeight="true" outlineLevel="0" collapsed="false">
      <c r="A3" s="1" t="s">
        <v>82</v>
      </c>
      <c r="B3" s="1" t="s">
        <v>85</v>
      </c>
      <c r="C3" s="1" t="s">
        <v>87</v>
      </c>
    </row>
    <row r="4" customFormat="false" ht="14.25" hidden="false" customHeight="true" outlineLevel="0" collapsed="false">
      <c r="A4" s="1" t="s">
        <v>305</v>
      </c>
      <c r="B4" s="1" t="s">
        <v>306</v>
      </c>
      <c r="C4" s="1" t="s">
        <v>307</v>
      </c>
    </row>
    <row r="5" customFormat="false" ht="14.25" hidden="false" customHeight="true" outlineLevel="0" collapsed="false">
      <c r="A5" s="1" t="s">
        <v>308</v>
      </c>
      <c r="B5" s="1" t="s">
        <v>309</v>
      </c>
      <c r="C5" s="1" t="s">
        <v>310</v>
      </c>
    </row>
    <row r="6" customFormat="false" ht="14.25" hidden="false" customHeight="true" outlineLevel="0" collapsed="false">
      <c r="A6" s="1" t="s">
        <v>311</v>
      </c>
      <c r="B6" s="1" t="s">
        <v>312</v>
      </c>
      <c r="C6" s="1" t="s">
        <v>313</v>
      </c>
    </row>
    <row r="7" customFormat="false" ht="14.25" hidden="false" customHeight="true" outlineLevel="0" collapsed="false">
      <c r="A7" s="1" t="s">
        <v>314</v>
      </c>
      <c r="B7" s="1" t="s">
        <v>315</v>
      </c>
      <c r="C7" s="1" t="s">
        <v>316</v>
      </c>
    </row>
    <row r="8" customFormat="false" ht="14.25" hidden="false" customHeight="true" outlineLevel="0" collapsed="false">
      <c r="A8" s="1" t="s">
        <v>144</v>
      </c>
      <c r="B8" s="1" t="s">
        <v>317</v>
      </c>
      <c r="C8" s="1" t="s">
        <v>318</v>
      </c>
    </row>
    <row r="9" customFormat="false" ht="14.25" hidden="false" customHeight="true" outlineLevel="0" collapsed="false">
      <c r="B9" s="1" t="s">
        <v>319</v>
      </c>
    </row>
    <row r="10" customFormat="false" ht="14.25" hidden="false" customHeight="true" outlineLevel="0" collapsed="false">
      <c r="B10" s="1" t="s">
        <v>320</v>
      </c>
    </row>
  </sheetData>
  <printOptions headings="false" gridLines="false" gridLinesSet="true" horizontalCentered="tru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2026-05-23T11:19:21Z</dcterms:created>
  <dc:creator>openpyxl</dc:creator>
  <dc:description/>
  <dc:language>en-US</dc:language>
  <cp:lastModifiedBy>Nazim Boukhouf</cp:lastModifiedBy>
  <dcterms:modified xsi:type="dcterms:W3CDTF">2026-05-26T06:42:34Z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