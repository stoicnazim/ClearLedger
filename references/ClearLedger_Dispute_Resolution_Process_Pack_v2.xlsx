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SIPOC" sheetId="3" state="visible" r:id="rId5"/>
    <sheet name="RACI Matrix" sheetId="4" state="visible" r:id="rId6"/>
    <sheet name="SOP — Dispute Management" sheetId="5" state="visible" r:id="rId7"/>
    <sheet name="Reason Code Taxonomy" sheetId="6" state="visible" r:id="rId8"/>
    <sheet name="Root Cause Analysis" sheetId="7" state="visible" r:id="rId9"/>
    <sheet name="KPI Scorecard" sheetId="8" state="visible" r:id="rId10"/>
    <sheet name="Benchmarks" sheetId="9" state="visible" r:id="rId11"/>
    <sheet name="SLA Tracker" sheetId="10" state="visible" r:id="rId12"/>
    <sheet name="Lists" sheetId="11" state="hidden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<sst xmlns="http://schemas.openxmlformats.org/spreadsheetml/2006/main" count="423" uniqueCount="291">
  <si>
    <t xml:space="preserve">ClearLedger Advisory</t>
  </si>
  <si>
    <t xml:space="preserve">Dispute Resolution</t>
  </si>
  <si>
    <t xml:space="preserve">Process Pack</t>
  </si>
  <si>
    <t xml:space="preserve">TOOLKIT 2.0  ·  PROCESS OPTIMIZATION SERIES</t>
  </si>
  <si>
    <t xml:space="preserve">APQC PCF v8.0 aligned  ·  Templates · Frameworks · Benchmarks</t>
  </si>
  <si>
    <t xml:space="preserve">  DOCUMENT INFORMATION</t>
  </si>
  <si>
    <t xml:space="preserve">Prepared for</t>
  </si>
  <si>
    <t xml:space="preserve">[Client Name]</t>
  </si>
  <si>
    <t xml:space="preserve">Prepared by</t>
  </si>
  <si>
    <t xml:space="preserve">[Consultant Name]</t>
  </si>
  <si>
    <t xml:space="preserve">Engagement date</t>
  </si>
  <si>
    <t xml:space="preserve">[Date]</t>
  </si>
  <si>
    <t xml:space="preserve">Version</t>
  </si>
  <si>
    <t xml:space="preserve">1.0</t>
  </si>
  <si>
    <t xml:space="preserve">License</t>
  </si>
  <si>
    <t xml:space="preserve">Single-entity commercial license</t>
  </si>
  <si>
    <t xml:space="preserve">  WHAT'S INSIDE</t>
  </si>
  <si>
    <t xml:space="preserve">Deduction and dispute management framework: SIPOC, RACI, dispute SOP, reason-code taxonomy, root-cause analysis, KPI scorecard, and SLA tracker for systematic resolution.</t>
  </si>
  <si>
    <t xml:space="preserve">  CONTENTS</t>
  </si>
  <si>
    <t xml:space="preserve">01</t>
  </si>
  <si>
    <t xml:space="preserve">SIPOC</t>
  </si>
  <si>
    <t xml:space="preserve">Suppliers → Inputs → Process → Outputs → Customers</t>
  </si>
  <si>
    <t xml:space="preserve">02</t>
  </si>
  <si>
    <t xml:space="preserve">RACI Matrix</t>
  </si>
  <si>
    <t xml:space="preserve">Activities with role assignments</t>
  </si>
  <si>
    <t xml:space="preserve">03</t>
  </si>
  <si>
    <t xml:space="preserve">SOP — Dispute Management</t>
  </si>
  <si>
    <t xml:space="preserve">04</t>
  </si>
  <si>
    <t xml:space="preserve">Reason Code Taxonomy</t>
  </si>
  <si>
    <t xml:space="preserve">05</t>
  </si>
  <si>
    <t xml:space="preserve">Root Cause Analysis</t>
  </si>
  <si>
    <t xml:space="preserve">06</t>
  </si>
  <si>
    <t xml:space="preserve">KPI Scorecard</t>
  </si>
  <si>
    <t xml:space="preserve">KPIs · APQC v8.0 benchmarks · RAG status</t>
  </si>
  <si>
    <t xml:space="preserve">07</t>
  </si>
  <si>
    <t xml:space="preserve">Benchmarks</t>
  </si>
  <si>
    <t xml:space="preserve">APQC / Hackett reference data</t>
  </si>
  <si>
    <t xml:space="preserve">08</t>
  </si>
  <si>
    <t xml:space="preserve">SLA Tracker</t>
  </si>
  <si>
    <t xml:space="preserve">APQC PCF v8.0: 8.3.3.5 Manage Disputes</t>
  </si>
  <si>
    <t xml:space="preserve">How to Use This Pack</t>
  </si>
  <si>
    <t xml:space="preserve">Follow these steps from diagnostic to deployment</t>
  </si>
  <si>
    <t xml:space="preserve">Step 1</t>
  </si>
  <si>
    <t xml:space="preserve">Review SIPOC</t>
  </si>
  <si>
    <t xml:space="preserve">Understand the end-to-end dispute resolution process.</t>
  </si>
  <si>
    <t xml:space="preserve">Step 2</t>
  </si>
  <si>
    <t xml:space="preserve">Assign RACI</t>
  </si>
  <si>
    <t xml:space="preserve">Use the RACI matrix to clarify dispute roles.</t>
  </si>
  <si>
    <t xml:space="preserve">Step 3</t>
  </si>
  <si>
    <t xml:space="preserve">Use Reason Codes</t>
  </si>
  <si>
    <t xml:space="preserve">Standardise dispute categorisation with the taxonomy.</t>
  </si>
  <si>
    <t xml:space="preserve">Step 4</t>
  </si>
  <si>
    <t xml:space="preserve">Set KPI Targets</t>
  </si>
  <si>
    <t xml:space="preserve">Enter your current values in the KPI Scorecard (blue cells).</t>
  </si>
  <si>
    <t xml:space="preserve">Step 5</t>
  </si>
  <si>
    <t xml:space="preserve">Track SLAs</t>
  </si>
  <si>
    <t xml:space="preserve">Use the SLA tracker for weekly dispute aging monitoring.</t>
  </si>
  <si>
    <t xml:space="preserve">Step 6</t>
  </si>
  <si>
    <t xml:space="preserve">Analyse Root Cause</t>
  </si>
  <si>
    <t xml:space="preserve">Use the RCA template to identify top dispute drivers.</t>
  </si>
  <si>
    <t xml:space="preserve">  ▸ Blue cells are inputs you edit. Black values are formula-driven — do not overtype them.</t>
  </si>
  <si>
    <t xml:space="preserve">SIPOC — Dispute Resolution Process</t>
  </si>
  <si>
    <t xml:space="preserve">APQC PCF v8.0: 8.3.3.5 · Manage Disputes</t>
  </si>
  <si>
    <t xml:space="preserve">Suppliers</t>
  </si>
  <si>
    <t xml:space="preserve">Inputs</t>
  </si>
  <si>
    <t xml:space="preserve">Process Steps</t>
  </si>
  <si>
    <t xml:space="preserve">Outputs</t>
  </si>
  <si>
    <t xml:space="preserve">Customers</t>
  </si>
  <si>
    <t xml:space="preserve">APQC</t>
  </si>
  <si>
    <t xml:space="preserve">Dispute notification (email/portal)</t>
  </si>
  <si>
    <t xml:space="preserve">1. Intake &amp; log dispute</t>
  </si>
  <si>
    <t xml:space="preserve">Dispute record with unique ID</t>
  </si>
  <si>
    <t xml:space="preserve">AR Team</t>
  </si>
  <si>
    <t xml:space="preserve">8.3.3.5.1</t>
  </si>
  <si>
    <t xml:space="preserve">Sales/Account Mgmt</t>
  </si>
  <si>
    <t xml:space="preserve">Customer claim details</t>
  </si>
  <si>
    <t xml:space="preserve">2. Categorise by reason code</t>
  </si>
  <si>
    <t xml:space="preserve">Categorised dispute</t>
  </si>
  <si>
    <t xml:space="preserve">Dispute Analyst</t>
  </si>
  <si>
    <t xml:space="preserve">8.3.3.5.2</t>
  </si>
  <si>
    <t xml:space="preserve">AR System</t>
  </si>
  <si>
    <t xml:space="preserve">Invoice / payment records</t>
  </si>
  <si>
    <t xml:space="preserve">3. Investigate root cause</t>
  </si>
  <si>
    <t xml:space="preserve">Investigation report</t>
  </si>
  <si>
    <t xml:space="preserve">Credit Team</t>
  </si>
  <si>
    <t xml:space="preserve">8.3.3.5.3</t>
  </si>
  <si>
    <t xml:space="preserve">Credit history</t>
  </si>
  <si>
    <t xml:space="preserve">4. Determine resolution path</t>
  </si>
  <si>
    <t xml:space="preserve">Resolution recommendation</t>
  </si>
  <si>
    <t xml:space="preserve">AR Manager</t>
  </si>
  <si>
    <t xml:space="preserve">8.3.3.5.4</t>
  </si>
  <si>
    <t xml:space="preserve">Approval (if required)</t>
  </si>
  <si>
    <t xml:space="preserve">5. Resolve dispute</t>
  </si>
  <si>
    <t xml:space="preserve">Credit memo / adjustment / write-off</t>
  </si>
  <si>
    <t xml:space="preserve">Customer</t>
  </si>
  <si>
    <t xml:space="preserve">8.3.3.5.5</t>
  </si>
  <si>
    <t xml:space="preserve">Collections</t>
  </si>
  <si>
    <t xml:space="preserve">Dispute status updates</t>
  </si>
  <si>
    <t xml:space="preserve">6. Communicate resolution</t>
  </si>
  <si>
    <t xml:space="preserve">Resolution confirmation sent</t>
  </si>
  <si>
    <t xml:space="preserve">Sales</t>
  </si>
  <si>
    <t xml:space="preserve">8.3.3.5.6</t>
  </si>
  <si>
    <t xml:space="preserve">ERP</t>
  </si>
  <si>
    <t xml:space="preserve">Post-resolve data</t>
  </si>
  <si>
    <t xml:space="preserve">7. Update AR &amp; close</t>
  </si>
  <si>
    <t xml:space="preserve">Closed dispute record</t>
  </si>
  <si>
    <t xml:space="preserve">Finance Leadership</t>
  </si>
  <si>
    <t xml:space="preserve">8.3.3.5.7</t>
  </si>
  <si>
    <t xml:space="preserve">RACI Matrix — Dispute Resolution</t>
  </si>
  <si>
    <t xml:space="preserve">R = Responsible · A = Accountable · C = Consulted · I = Informed</t>
  </si>
  <si>
    <t xml:space="preserve">Activity</t>
  </si>
  <si>
    <t xml:space="preserve">AR Analyst</t>
  </si>
  <si>
    <t xml:space="preserve">Dispute Spec</t>
  </si>
  <si>
    <t xml:space="preserve">Credit</t>
  </si>
  <si>
    <t xml:space="preserve">Receive &amp; log dispute</t>
  </si>
  <si>
    <t xml:space="preserve">R</t>
  </si>
  <si>
    <t xml:space="preserve">A</t>
  </si>
  <si>
    <t xml:space="preserve">I</t>
  </si>
  <si>
    <t xml:space="preserve">C</t>
  </si>
  <si>
    <t xml:space="preserve">Categorise by reason code</t>
  </si>
  <si>
    <t xml:space="preserve">Gather supporting docs</t>
  </si>
  <si>
    <t xml:space="preserve">Investigate root cause</t>
  </si>
  <si>
    <t xml:space="preserve">Determine resolution path</t>
  </si>
  <si>
    <t xml:space="preserve">Prepare adjustment proposal</t>
  </si>
  <si>
    <t xml:space="preserve">Obtain approval (&gt;€X)</t>
  </si>
  <si>
    <t xml:space="preserve">Generate credit memo</t>
  </si>
  <si>
    <t xml:space="preserve">Communicate to customer</t>
  </si>
  <si>
    <t xml:space="preserve">Update dispute system</t>
  </si>
  <si>
    <t xml:space="preserve">Analyse root cause trends</t>
  </si>
  <si>
    <t xml:space="preserve">Report SLA performance</t>
  </si>
  <si>
    <t xml:space="preserve">Standard Operating Procedure — Dispute Management</t>
  </si>
  <si>
    <t xml:space="preserve">End-to-end dispute resolution from intake to close</t>
  </si>
  <si>
    <t xml:space="preserve">Step</t>
  </si>
  <si>
    <t xml:space="preserve">Who</t>
  </si>
  <si>
    <t xml:space="preserve">Task</t>
  </si>
  <si>
    <t xml:space="preserve">Procedure</t>
  </si>
  <si>
    <t xml:space="preserve">SLA</t>
  </si>
  <si>
    <t xml:space="preserve">Customer / System</t>
  </si>
  <si>
    <t xml:space="preserve">Submit dispute</t>
  </si>
  <si>
    <t xml:space="preserve">Customer submits via portal or email. Auto-created in dispute system with unique ID. Mandatory fields: Invoice #, Amount, Reason, Customer Contact.</t>
  </si>
  <si>
    <t xml:space="preserve">&lt;4hr</t>
  </si>
  <si>
    <t xml:space="preserve">Validate &amp; categorise</t>
  </si>
  <si>
    <t xml:space="preserve">Review submission for completeness. Assign reason code from taxonomy. Route to appropriate team (billing, credit, sales).</t>
  </si>
  <si>
    <t xml:space="preserve">&lt;8hr</t>
  </si>
  <si>
    <t xml:space="preserve">Dispute Specialist</t>
  </si>
  <si>
    <t xml:space="preserve">Gather evidence</t>
  </si>
  <si>
    <t xml:space="preserve">Pull invoice, proof of delivery, contract terms, credit notes. Verify customer claim against supporting documents.</t>
  </si>
  <si>
    <t xml:space="preserve">&lt;24hr</t>
  </si>
  <si>
    <t xml:space="preserve">Investigate &amp; propose</t>
  </si>
  <si>
    <t xml:space="preserve">Analyse root cause. Determine resolution: adjustment, credit memo, write-off, or reject with justification. Prepare recommendation.</t>
  </si>
  <si>
    <t xml:space="preserve">&lt;48hr</t>
  </si>
  <si>
    <t xml:space="preserve">Approve resolution</t>
  </si>
  <si>
    <t xml:space="preserve">Review recommendation. Approve within authority limit (&gt;€1K requires Manager, &gt;€10K requires Director).</t>
  </si>
  <si>
    <t xml:space="preserve">Execute resolution</t>
  </si>
  <si>
    <t xml:space="preserve">Generate credit memo or adjustment in ERP. Attach supporting docs to dispute record.</t>
  </si>
  <si>
    <t xml:space="preserve">Notify customer</t>
  </si>
  <si>
    <t xml:space="preserve">Send resolution summary via portal or email. Request confirmation of acceptance. If rejected, escalate to Manager.</t>
  </si>
  <si>
    <t xml:space="preserve">Close &amp; document</t>
  </si>
  <si>
    <t xml:space="preserve">Close dispute in system. Log root cause code for trending. Update customer master if process issue identified.</t>
  </si>
  <si>
    <t xml:space="preserve">&lt;2hr</t>
  </si>
  <si>
    <t xml:space="preserve">Dispute Reason Code Taxonomy</t>
  </si>
  <si>
    <t xml:space="preserve">Standardised categorisation for trending and root cause analysis</t>
  </si>
  <si>
    <t xml:space="preserve">Code</t>
  </si>
  <si>
    <t xml:space="preserve">Category</t>
  </si>
  <si>
    <t xml:space="preserve">Sub-Category</t>
  </si>
  <si>
    <t xml:space="preserve">Frequency %</t>
  </si>
  <si>
    <t xml:space="preserve">Resolution Path</t>
  </si>
  <si>
    <t xml:space="preserve">Owner</t>
  </si>
  <si>
    <t xml:space="preserve">DC-01</t>
  </si>
  <si>
    <t xml:space="preserve">Pricing / Billing</t>
  </si>
  <si>
    <t xml:space="preserve">Price discrepancy</t>
  </si>
  <si>
    <t xml:space="preserve">18%</t>
  </si>
  <si>
    <t xml:space="preserve">Verify contract rate. Issue CM or rebill.</t>
  </si>
  <si>
    <t xml:space="preserve">Billing Team</t>
  </si>
  <si>
    <t xml:space="preserve">DC-02</t>
  </si>
  <si>
    <t xml:space="preserve">Invoice error</t>
  </si>
  <si>
    <t xml:space="preserve">12%</t>
  </si>
  <si>
    <t xml:space="preserve">Correct and reissue invoice.</t>
  </si>
  <si>
    <t xml:space="preserve">DC-03</t>
  </si>
  <si>
    <t xml:space="preserve">Credit memo not received</t>
  </si>
  <si>
    <t xml:space="preserve">8%</t>
  </si>
  <si>
    <t xml:space="preserve">Check CM processing. Reissue if needed.</t>
  </si>
  <si>
    <t xml:space="preserve">DC-04</t>
  </si>
  <si>
    <t xml:space="preserve">Delivery / Service</t>
  </si>
  <si>
    <t xml:space="preserve">Service not rendered</t>
  </si>
  <si>
    <t xml:space="preserve">15%</t>
  </si>
  <si>
    <t xml:space="preserve">Verify POD. Coordinate with operations.</t>
  </si>
  <si>
    <t xml:space="preserve">Ops Team</t>
  </si>
  <si>
    <t xml:space="preserve">DC-05</t>
  </si>
  <si>
    <t xml:space="preserve">Late delivery</t>
  </si>
  <si>
    <t xml:space="preserve">7%</t>
  </si>
  <si>
    <t xml:space="preserve">Review delivery SLA. Negotiate partial credit.</t>
  </si>
  <si>
    <t xml:space="preserve">Ops/Customer</t>
  </si>
  <si>
    <t xml:space="preserve">DC-06</t>
  </si>
  <si>
    <t xml:space="preserve">Damaged goods</t>
  </si>
  <si>
    <t xml:space="preserve">5%</t>
  </si>
  <si>
    <t xml:space="preserve">Logistics investigation. Insurance claim.</t>
  </si>
  <si>
    <t xml:space="preserve">Logistics</t>
  </si>
  <si>
    <t xml:space="preserve">DC-07</t>
  </si>
  <si>
    <t xml:space="preserve">Terms / Contract</t>
  </si>
  <si>
    <t xml:space="preserve">Contract terms dispute</t>
  </si>
  <si>
    <t xml:space="preserve">10%</t>
  </si>
  <si>
    <t xml:space="preserve">Legal review of contract. Mediate resolution.</t>
  </si>
  <si>
    <t xml:space="preserve">Legal/Sales</t>
  </si>
  <si>
    <t xml:space="preserve">DC-08</t>
  </si>
  <si>
    <t xml:space="preserve">Early payment discount</t>
  </si>
  <si>
    <t xml:space="preserve">6%</t>
  </si>
  <si>
    <t xml:space="preserve">Verify payment timing. Adjust if applicable.</t>
  </si>
  <si>
    <t xml:space="preserve">DC-09</t>
  </si>
  <si>
    <t xml:space="preserve">Data / System</t>
  </si>
  <si>
    <t xml:space="preserve">Payment not applied</t>
  </si>
  <si>
    <t xml:space="preserve">9%</t>
  </si>
  <si>
    <t xml:space="preserve">Trace payment. Apply to correct invoice.</t>
  </si>
  <si>
    <t xml:space="preserve">DC-10</t>
  </si>
  <si>
    <t xml:space="preserve">Duplicate invoice</t>
  </si>
  <si>
    <t xml:space="preserve">4%</t>
  </si>
  <si>
    <t xml:space="preserve">Cancel duplicate. Confirm with customer.</t>
  </si>
  <si>
    <t xml:space="preserve">DC-11</t>
  </si>
  <si>
    <t xml:space="preserve">Customer Process</t>
  </si>
  <si>
    <t xml:space="preserve">Customer invoice lost</t>
  </si>
  <si>
    <t xml:space="preserve">Re-send via portal/EDI. Confirm receipt.</t>
  </si>
  <si>
    <t xml:space="preserve">DC-12</t>
  </si>
  <si>
    <t xml:space="preserve">Internal approval delay</t>
  </si>
  <si>
    <t xml:space="preserve">3%</t>
  </si>
  <si>
    <t xml:space="preserve">Work with AP contact. Offer portal access.</t>
  </si>
  <si>
    <t xml:space="preserve">Root Cause Analysis — Pareto Template</t>
  </si>
  <si>
    <t xml:space="preserve">Enter dispute volumes by reason. Cumulative % and Pareto analysis auto-calculated.</t>
  </si>
  <si>
    <t xml:space="preserve">Reason Category</t>
  </si>
  <si>
    <t xml:space="preserve">Dispute Count</t>
  </si>
  <si>
    <t xml:space="preserve">% of Total</t>
  </si>
  <si>
    <t xml:space="preserve">Cumulative %</t>
  </si>
  <si>
    <t xml:space="preserve">Pareto (80%)</t>
  </si>
  <si>
    <t xml:space="preserve">Action</t>
  </si>
  <si>
    <t xml:space="preserve">Quality / Compliance</t>
  </si>
  <si>
    <t xml:space="preserve">Other</t>
  </si>
  <si>
    <t xml:space="preserve">KPI Scorecard — Dispute Resolution</t>
  </si>
  <si>
    <t xml:space="preserve">APQC PCF v8.0 benchmarks. Blue cells = editable.</t>
  </si>
  <si>
    <t xml:space="preserve">KPI</t>
  </si>
  <si>
    <t xml:space="preserve">Current</t>
  </si>
  <si>
    <t xml:space="preserve">Target</t>
  </si>
  <si>
    <t xml:space="preserve">Top</t>
  </si>
  <si>
    <t xml:space="preserve">Median</t>
  </si>
  <si>
    <t xml:space="preserve">Bottom</t>
  </si>
  <si>
    <t xml:space="preserve">Status</t>
  </si>
  <si>
    <t xml:space="preserve">Definition</t>
  </si>
  <si>
    <t xml:space="preserve">Dispute Resolution Time (days)</t>
  </si>
  <si>
    <t xml:space="preserve">Avg days from intake to close</t>
  </si>
  <si>
    <t xml:space="preserve">Dispute Rate (% of invoices)</t>
  </si>
  <si>
    <t xml:space="preserve">Disputes ÷ Total invoices</t>
  </si>
  <si>
    <t xml:space="preserve">First-Contact Resolution (%)</t>
  </si>
  <si>
    <t xml:space="preserve">Resolved first investigation ÷ Total</t>
  </si>
  <si>
    <t xml:space="preserve">SLA Adherence Rate (%)</t>
  </si>
  <si>
    <t xml:space="preserve">Within SLA ÷ Total disputes</t>
  </si>
  <si>
    <t xml:space="preserve">CM Value as % of Revenue</t>
  </si>
  <si>
    <t xml:space="preserve">CM value ÷ Revenue</t>
  </si>
  <si>
    <t xml:space="preserve">Dispute Aging &gt;30 days (%)</t>
  </si>
  <si>
    <t xml:space="preserve">Open &gt;30d ÷ Total open</t>
  </si>
  <si>
    <t xml:space="preserve">Repeat Dispute Rate (%)</t>
  </si>
  <si>
    <t xml:space="preserve">Same cause within 90d</t>
  </si>
  <si>
    <t xml:space="preserve">RAG status compares Current vs Target (direction-aware). Edit blue cells to update.</t>
  </si>
  <si>
    <t xml:space="preserve">APQC / HACKETT — Dispute Benchmarks</t>
  </si>
  <si>
    <t xml:space="preserve">APQC PCF v8.0 and Hackett Group 2026</t>
  </si>
  <si>
    <t xml:space="preserve">Metric</t>
  </si>
  <si>
    <t xml:space="preserve">Source</t>
  </si>
  <si>
    <t xml:space="preserve">APQC PCF v8.0</t>
  </si>
  <si>
    <t xml:space="preserve">Hackett 2026</t>
  </si>
  <si>
    <t xml:space="preserve">Cost per Dispute (€)</t>
  </si>
  <si>
    <t xml:space="preserve">DSO Impact (days)</t>
  </si>
  <si>
    <t xml:space="preserve">Dispute SLA Aging Tracker</t>
  </si>
  <si>
    <t xml:space="preserve">Track dispute aging by priority bucket</t>
  </si>
  <si>
    <t xml:space="preserve">Dispute ID</t>
  </si>
  <si>
    <t xml:space="preserve">Age (Days)</t>
  </si>
  <si>
    <t xml:space="preserve">Priority</t>
  </si>
  <si>
    <t xml:space="preserve">SLA Met?</t>
  </si>
  <si>
    <t xml:space="preserve">Assignee</t>
  </si>
  <si>
    <t xml:space="preserve">Notes</t>
  </si>
  <si>
    <t xml:space="preserve">Reason Code</t>
  </si>
  <si>
    <t xml:space="preserve">Resolution</t>
  </si>
  <si>
    <t xml:space="preserve">High</t>
  </si>
  <si>
    <t xml:space="preserve">Open</t>
  </si>
  <si>
    <t xml:space="preserve">CM Issued</t>
  </si>
  <si>
    <t xml:space="preserve">Medium</t>
  </si>
  <si>
    <t xml:space="preserve">Investigation</t>
  </si>
  <si>
    <t xml:space="preserve">Rebill</t>
  </si>
  <si>
    <t xml:space="preserve">Low</t>
  </si>
  <si>
    <t xml:space="preserve">Pending Approval</t>
  </si>
  <si>
    <t xml:space="preserve">Write-Off</t>
  </si>
  <si>
    <t xml:space="preserve">Resolved</t>
  </si>
  <si>
    <t xml:space="preserve">Rejected</t>
  </si>
  <si>
    <t xml:space="preserve">Closed</t>
  </si>
  <si>
    <t xml:space="preserve">Reclassified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</si>
</sst>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\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Arial"/>
      <family val="0"/>
      <charset val="1"/>
    </font>
    <font>
      <b val="true"/>
      <sz val="32"/>
      <color rgb="FFFFFFFF"/>
      <name val="Arial"/>
      <family val="0"/>
      <charset val="1"/>
    </font>
    <font>
      <b val="true"/>
      <sz val="32"/>
      <color rgb="FFE8D589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C9D1D9"/>
      <name val="Arial"/>
      <family val="0"/>
      <charset val="1"/>
    </font>
    <font>
      <sz val="9"/>
      <color rgb="FF8B949E"/>
      <name val="Arial"/>
      <family val="0"/>
      <charset val="1"/>
    </font>
    <font>
      <sz val="8"/>
      <color rgb="FF6E768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8"/>
      <color rgb="FF64748B"/>
      <name val="Arial"/>
      <family val="0"/>
      <charset val="1"/>
    </font>
    <font>
      <i val="true"/>
      <sz val="8"/>
      <color rgb="FF64748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C9A227"/>
        <bgColor rgb="FF99CC00"/>
      </patternFill>
    </fill>
    <fill>
      <patternFill patternType="solid">
        <fgColor rgb="FF161B22"/>
        <bgColor rgb="FF0D1117"/>
      </patternFill>
    </fill>
    <fill>
      <patternFill patternType="solid">
        <fgColor rgb="FF0E7490"/>
        <bgColor rgb="FF047857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  <fill>
      <patternFill patternType="solid">
        <fgColor rgb="FF047857"/>
        <bgColor rgb="FF0E7490"/>
      </patternFill>
    </fill>
    <fill>
      <patternFill patternType="solid">
        <fgColor rgb="FFB91C1C"/>
        <bgColor rgb="FF993366"/>
      </patternFill>
    </fill>
    <fill>
      <patternFill patternType="solid">
        <fgColor rgb="FF64748B"/>
        <bgColor rgb="FF6E7681"/>
      </patternFill>
    </fill>
    <fill>
      <patternFill patternType="solid">
        <fgColor rgb="FFB45309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47857"/>
        <sz val="9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B45309"/>
        <sz val="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B91C1C"/>
        <sz val="9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2E8F0"/>
      <rgbColor rgb="FF6E7681"/>
      <rgbColor rgb="FF9999FF"/>
      <rgbColor rgb="FFB45309"/>
      <rgbColor rgb="FFFEF3C7"/>
      <rgbColor rgb="FFE6EDF3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FF6FF"/>
      <rgbColor rgb="FFD1FAE5"/>
      <rgbColor rgb="FFFEE2E2"/>
      <rgbColor rgb="FFF1F5F9"/>
      <rgbColor rgb="FFFF99CC"/>
      <rgbColor rgb="FFCC99FF"/>
      <rgbColor rgb="FFE8D589"/>
      <rgbColor rgb="FF3366FF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161B22"/>
      <rgbColor rgb="FF0D1117"/>
      <rgbColor rgb="FFB91C1C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9" min="5" style="0" width="12"/>
    <col collapsed="false" customWidth="true" hidden="false" outlineLevel="0" max="10" min="10" style="0" width="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3" t="s">
        <v>0</v>
      </c>
      <c r="C4" s="3"/>
      <c r="D4" s="3"/>
      <c r="E4" s="3"/>
      <c r="F4" s="3"/>
      <c r="G4" s="3"/>
      <c r="H4" s="3"/>
      <c r="I4" s="3"/>
      <c r="J4" s="3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42" hidden="false" customHeight="true" outlineLevel="0" collapsed="false">
      <c r="A6" s="1"/>
      <c r="B6" s="4" t="s">
        <v>1</v>
      </c>
      <c r="C6" s="4"/>
      <c r="D6" s="4"/>
      <c r="E6" s="4"/>
      <c r="F6" s="4"/>
      <c r="G6" s="4"/>
      <c r="H6" s="4"/>
      <c r="I6" s="4"/>
      <c r="J6" s="4"/>
      <c r="K6" s="1"/>
      <c r="L6" s="1"/>
    </row>
    <row r="7" customFormat="false" ht="42" hidden="false" customHeight="true" outlineLevel="0" collapsed="false">
      <c r="A7" s="1"/>
      <c r="B7" s="5" t="s">
        <v>2</v>
      </c>
      <c r="C7" s="5"/>
      <c r="D7" s="5"/>
      <c r="E7" s="5"/>
      <c r="F7" s="5"/>
      <c r="G7" s="5"/>
      <c r="H7" s="5"/>
      <c r="I7" s="5"/>
      <c r="J7" s="5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6" t="s">
        <v>3</v>
      </c>
      <c r="C9" s="6"/>
      <c r="D9" s="6"/>
      <c r="E9" s="6"/>
      <c r="F9" s="6"/>
      <c r="G9" s="6"/>
      <c r="H9" s="6"/>
      <c r="I9" s="6"/>
      <c r="J9" s="6"/>
      <c r="K9" s="1"/>
      <c r="L9" s="1"/>
    </row>
    <row r="10" customFormat="false" ht="15" hidden="false" customHeight="false" outlineLevel="0" collapsed="false">
      <c r="A10" s="1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1.75" hidden="false" customHeight="true" outlineLevel="0" collapsed="false">
      <c r="A12" s="1"/>
      <c r="B12" s="8" t="s">
        <v>5</v>
      </c>
      <c r="C12" s="8"/>
      <c r="D12" s="8"/>
      <c r="E12" s="8"/>
      <c r="F12" s="8"/>
      <c r="G12" s="8"/>
      <c r="H12" s="8"/>
      <c r="I12" s="8"/>
      <c r="J12" s="8"/>
      <c r="K12" s="1"/>
      <c r="L12" s="1"/>
    </row>
    <row r="13" customFormat="false" ht="19.5" hidden="false" customHeight="true" outlineLevel="0" collapsed="false">
      <c r="A13" s="1"/>
      <c r="B13" s="9" t="s">
        <v>6</v>
      </c>
      <c r="C13" s="10" t="s">
        <v>7</v>
      </c>
      <c r="D13" s="10"/>
      <c r="E13" s="10"/>
      <c r="F13" s="10"/>
      <c r="G13" s="10"/>
      <c r="H13" s="10"/>
      <c r="I13" s="10"/>
      <c r="J13" s="10"/>
      <c r="K13" s="1"/>
      <c r="L13" s="1"/>
    </row>
    <row r="14" customFormat="false" ht="19.5" hidden="false" customHeight="true" outlineLevel="0" collapsed="false">
      <c r="A14" s="1"/>
      <c r="B14" s="9" t="s">
        <v>8</v>
      </c>
      <c r="C14" s="10" t="s">
        <v>9</v>
      </c>
      <c r="D14" s="10"/>
      <c r="E14" s="10"/>
      <c r="F14" s="10"/>
      <c r="G14" s="10"/>
      <c r="H14" s="10"/>
      <c r="I14" s="10"/>
      <c r="J14" s="10"/>
      <c r="K14" s="1"/>
      <c r="L14" s="1"/>
    </row>
    <row r="15" customFormat="false" ht="19.5" hidden="false" customHeight="true" outlineLevel="0" collapsed="false">
      <c r="A15" s="1"/>
      <c r="B15" s="9" t="s">
        <v>10</v>
      </c>
      <c r="C15" s="10" t="s">
        <v>11</v>
      </c>
      <c r="D15" s="10"/>
      <c r="E15" s="10"/>
      <c r="F15" s="10"/>
      <c r="G15" s="10"/>
      <c r="H15" s="10"/>
      <c r="I15" s="10"/>
      <c r="J15" s="10"/>
      <c r="K15" s="1"/>
      <c r="L15" s="1"/>
    </row>
    <row r="16" customFormat="false" ht="19.5" hidden="false" customHeight="true" outlineLevel="0" collapsed="false">
      <c r="A16" s="1"/>
      <c r="B16" s="9" t="s">
        <v>12</v>
      </c>
      <c r="C16" s="11" t="s">
        <v>13</v>
      </c>
      <c r="D16" s="11"/>
      <c r="E16" s="11"/>
      <c r="F16" s="11"/>
      <c r="G16" s="11"/>
      <c r="H16" s="11"/>
      <c r="I16" s="11"/>
      <c r="J16" s="11"/>
      <c r="K16" s="1"/>
      <c r="L16" s="1"/>
    </row>
    <row r="17" customFormat="false" ht="19.5" hidden="false" customHeight="true" outlineLevel="0" collapsed="false">
      <c r="A17" s="1"/>
      <c r="B17" s="9" t="s">
        <v>14</v>
      </c>
      <c r="C17" s="11" t="s">
        <v>15</v>
      </c>
      <c r="D17" s="11"/>
      <c r="E17" s="11"/>
      <c r="F17" s="11"/>
      <c r="G17" s="11"/>
      <c r="H17" s="11"/>
      <c r="I17" s="11"/>
      <c r="J17" s="1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8" t="s">
        <v>16</v>
      </c>
      <c r="C19" s="8"/>
      <c r="D19" s="8"/>
      <c r="E19" s="8"/>
      <c r="F19" s="8"/>
      <c r="G19" s="8"/>
      <c r="H19" s="8"/>
      <c r="I19" s="8"/>
      <c r="J19" s="8"/>
      <c r="K19" s="1"/>
      <c r="L19" s="1"/>
    </row>
    <row r="20" customFormat="false" ht="15" hidden="false" customHeight="true" outlineLevel="0" collapsed="false">
      <c r="A20" s="1"/>
      <c r="B20" s="12" t="s">
        <v>17</v>
      </c>
      <c r="C20" s="12"/>
      <c r="D20" s="12"/>
      <c r="E20" s="12"/>
      <c r="F20" s="12"/>
      <c r="G20" s="12"/>
      <c r="H20" s="12"/>
      <c r="I20" s="12"/>
      <c r="J20" s="12"/>
      <c r="K20" s="1"/>
      <c r="L20" s="1"/>
    </row>
    <row r="21" customFormat="false" ht="15" hidden="false" customHeight="false" outlineLevel="0" collapsed="false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"/>
      <c r="L21" s="1"/>
    </row>
    <row r="22" customFormat="false" ht="15" hidden="false" customHeight="false" outlineLevel="0" collapsed="false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</row>
    <row r="23" customFormat="false" ht="15" hidden="false" customHeight="false" outlineLevel="0" collapsed="false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8" t="s">
        <v>18</v>
      </c>
      <c r="C25" s="8"/>
      <c r="D25" s="8"/>
      <c r="E25" s="8"/>
      <c r="F25" s="8"/>
      <c r="G25" s="8"/>
      <c r="H25" s="8"/>
      <c r="I25" s="8"/>
      <c r="J25" s="8"/>
      <c r="K25" s="1"/>
      <c r="L25" s="1"/>
    </row>
    <row r="26" customFormat="false" ht="18" hidden="false" customHeight="true" outlineLevel="0" collapsed="false">
      <c r="A26" s="1"/>
      <c r="B26" s="13" t="s">
        <v>19</v>
      </c>
      <c r="C26" s="14" t="s">
        <v>20</v>
      </c>
      <c r="D26" s="14"/>
      <c r="E26" s="15" t="s">
        <v>21</v>
      </c>
      <c r="F26" s="15"/>
      <c r="G26" s="15"/>
      <c r="H26" s="15"/>
      <c r="I26" s="15"/>
      <c r="J26" s="15"/>
      <c r="K26" s="1"/>
      <c r="L26" s="1"/>
    </row>
    <row r="27" customFormat="false" ht="18" hidden="false" customHeight="true" outlineLevel="0" collapsed="false">
      <c r="A27" s="1"/>
      <c r="B27" s="13" t="s">
        <v>22</v>
      </c>
      <c r="C27" s="14" t="s">
        <v>23</v>
      </c>
      <c r="D27" s="14"/>
      <c r="E27" s="15" t="s">
        <v>24</v>
      </c>
      <c r="F27" s="15"/>
      <c r="G27" s="15"/>
      <c r="H27" s="15"/>
      <c r="I27" s="15"/>
      <c r="J27" s="15"/>
      <c r="K27" s="1"/>
      <c r="L27" s="1"/>
    </row>
    <row r="28" customFormat="false" ht="18" hidden="false" customHeight="true" outlineLevel="0" collapsed="false">
      <c r="A28" s="1"/>
      <c r="B28" s="13" t="s">
        <v>25</v>
      </c>
      <c r="C28" s="14" t="s">
        <v>26</v>
      </c>
      <c r="D28" s="14"/>
      <c r="E28" s="15" t="s">
        <v>26</v>
      </c>
      <c r="F28" s="15"/>
      <c r="G28" s="15"/>
      <c r="H28" s="15"/>
      <c r="I28" s="15"/>
      <c r="J28" s="15"/>
      <c r="K28" s="1"/>
      <c r="L28" s="1"/>
    </row>
    <row r="29" customFormat="false" ht="18" hidden="false" customHeight="true" outlineLevel="0" collapsed="false">
      <c r="A29" s="1"/>
      <c r="B29" s="13" t="s">
        <v>27</v>
      </c>
      <c r="C29" s="14" t="s">
        <v>28</v>
      </c>
      <c r="D29" s="14"/>
      <c r="E29" s="15" t="s">
        <v>28</v>
      </c>
      <c r="F29" s="15"/>
      <c r="G29" s="15"/>
      <c r="H29" s="15"/>
      <c r="I29" s="15"/>
      <c r="J29" s="15"/>
      <c r="K29" s="1"/>
      <c r="L29" s="1"/>
    </row>
    <row r="30" customFormat="false" ht="18" hidden="false" customHeight="true" outlineLevel="0" collapsed="false">
      <c r="A30" s="1"/>
      <c r="B30" s="13" t="s">
        <v>29</v>
      </c>
      <c r="C30" s="14" t="s">
        <v>30</v>
      </c>
      <c r="D30" s="14"/>
      <c r="E30" s="15" t="s">
        <v>30</v>
      </c>
      <c r="F30" s="15"/>
      <c r="G30" s="15"/>
      <c r="H30" s="15"/>
      <c r="I30" s="15"/>
      <c r="J30" s="15"/>
      <c r="K30" s="1"/>
      <c r="L30" s="1"/>
    </row>
    <row r="31" customFormat="false" ht="18" hidden="false" customHeight="true" outlineLevel="0" collapsed="false">
      <c r="A31" s="1"/>
      <c r="B31" s="13" t="s">
        <v>31</v>
      </c>
      <c r="C31" s="14" t="s">
        <v>32</v>
      </c>
      <c r="D31" s="14"/>
      <c r="E31" s="15" t="s">
        <v>33</v>
      </c>
      <c r="F31" s="15"/>
      <c r="G31" s="15"/>
      <c r="H31" s="15"/>
      <c r="I31" s="15"/>
      <c r="J31" s="15"/>
      <c r="K31" s="1"/>
      <c r="L31" s="1"/>
    </row>
    <row r="32" customFormat="false" ht="18" hidden="false" customHeight="true" outlineLevel="0" collapsed="false">
      <c r="A32" s="1"/>
      <c r="B32" s="13" t="s">
        <v>34</v>
      </c>
      <c r="C32" s="14" t="s">
        <v>35</v>
      </c>
      <c r="D32" s="14"/>
      <c r="E32" s="15" t="s">
        <v>36</v>
      </c>
      <c r="F32" s="15"/>
      <c r="G32" s="15"/>
      <c r="H32" s="15"/>
      <c r="I32" s="15"/>
      <c r="J32" s="15"/>
      <c r="K32" s="1"/>
      <c r="L32" s="1"/>
    </row>
    <row r="33" customFormat="false" ht="18" hidden="false" customHeight="true" outlineLevel="0" collapsed="false">
      <c r="A33" s="1"/>
      <c r="B33" s="13" t="s">
        <v>37</v>
      </c>
      <c r="C33" s="14" t="s">
        <v>38</v>
      </c>
      <c r="D33" s="14"/>
      <c r="E33" s="15" t="s">
        <v>38</v>
      </c>
      <c r="F33" s="15"/>
      <c r="G33" s="15"/>
      <c r="H33" s="15"/>
      <c r="I33" s="15"/>
      <c r="J33" s="15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6" t="s">
        <v>39</v>
      </c>
      <c r="C35" s="16"/>
      <c r="D35" s="16"/>
      <c r="E35" s="16"/>
      <c r="F35" s="16"/>
      <c r="G35" s="16"/>
      <c r="H35" s="16"/>
      <c r="I35" s="16"/>
      <c r="J35" s="16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32">
    <mergeCell ref="B2:J2"/>
    <mergeCell ref="B4:J4"/>
    <mergeCell ref="B6:J6"/>
    <mergeCell ref="B7:J7"/>
    <mergeCell ref="B9:J9"/>
    <mergeCell ref="B10:J10"/>
    <mergeCell ref="B12:J12"/>
    <mergeCell ref="C13:J13"/>
    <mergeCell ref="C14:J14"/>
    <mergeCell ref="C15:J15"/>
    <mergeCell ref="C16:J16"/>
    <mergeCell ref="C17:J17"/>
    <mergeCell ref="B19:J19"/>
    <mergeCell ref="B20:J23"/>
    <mergeCell ref="B25:J25"/>
    <mergeCell ref="C26:D26"/>
    <mergeCell ref="E26:J26"/>
    <mergeCell ref="C27:D27"/>
    <mergeCell ref="E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B35:J35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4"/>
  </cols>
  <sheetData>
    <row r="2" customFormat="false" ht="30" hidden="false" customHeight="true" outlineLevel="0" collapsed="false">
      <c r="B2" s="17" t="s">
        <v>40</v>
      </c>
      <c r="C2" s="17"/>
    </row>
    <row r="3" customFormat="false" ht="15.75" hidden="false" customHeight="true" outlineLevel="0" collapsed="false">
      <c r="B3" s="18" t="s">
        <v>41</v>
      </c>
      <c r="C3" s="18"/>
    </row>
    <row r="5" customFormat="false" ht="21.75" hidden="false" customHeight="true" outlineLevel="0" collapsed="false">
      <c r="B5" s="19" t="s">
        <v>42</v>
      </c>
      <c r="C5" s="20" t="s">
        <v>43</v>
      </c>
    </row>
    <row r="6" customFormat="false" ht="30" hidden="false" customHeight="true" outlineLevel="0" collapsed="false">
      <c r="B6" s="21"/>
      <c r="C6" s="22" t="s">
        <v>44</v>
      </c>
    </row>
    <row r="7" customFormat="false" ht="21.75" hidden="false" customHeight="true" outlineLevel="0" collapsed="false">
      <c r="B7" s="19" t="s">
        <v>45</v>
      </c>
      <c r="C7" s="20" t="s">
        <v>46</v>
      </c>
    </row>
    <row r="8" customFormat="false" ht="30" hidden="false" customHeight="true" outlineLevel="0" collapsed="false">
      <c r="B8" s="21"/>
      <c r="C8" s="22" t="s">
        <v>47</v>
      </c>
    </row>
    <row r="9" customFormat="false" ht="21.75" hidden="false" customHeight="true" outlineLevel="0" collapsed="false">
      <c r="B9" s="19" t="s">
        <v>48</v>
      </c>
      <c r="C9" s="20" t="s">
        <v>49</v>
      </c>
    </row>
    <row r="10" customFormat="false" ht="30" hidden="false" customHeight="true" outlineLevel="0" collapsed="false">
      <c r="B10" s="21"/>
      <c r="C10" s="22" t="s">
        <v>50</v>
      </c>
    </row>
    <row r="11" customFormat="false" ht="21.75" hidden="false" customHeight="true" outlineLevel="0" collapsed="false">
      <c r="B11" s="19" t="s">
        <v>51</v>
      </c>
      <c r="C11" s="20" t="s">
        <v>52</v>
      </c>
    </row>
    <row r="12" customFormat="false" ht="30" hidden="false" customHeight="true" outlineLevel="0" collapsed="false">
      <c r="B12" s="21"/>
      <c r="C12" s="22" t="s">
        <v>53</v>
      </c>
    </row>
    <row r="13" customFormat="false" ht="21.75" hidden="false" customHeight="true" outlineLevel="0" collapsed="false">
      <c r="B13" s="19" t="s">
        <v>54</v>
      </c>
      <c r="C13" s="20" t="s">
        <v>55</v>
      </c>
    </row>
    <row r="14" customFormat="false" ht="30" hidden="false" customHeight="true" outlineLevel="0" collapsed="false">
      <c r="B14" s="21"/>
      <c r="C14" s="22" t="s">
        <v>56</v>
      </c>
    </row>
    <row r="15" customFormat="false" ht="21.75" hidden="false" customHeight="true" outlineLevel="0" collapsed="false">
      <c r="B15" s="19" t="s">
        <v>57</v>
      </c>
      <c r="C15" s="20" t="s">
        <v>58</v>
      </c>
    </row>
    <row r="16" customFormat="false" ht="30" hidden="false" customHeight="true" outlineLevel="0" collapsed="false">
      <c r="B16" s="21"/>
      <c r="C16" s="22" t="s">
        <v>59</v>
      </c>
    </row>
    <row r="18" customFormat="false" ht="24" hidden="false" customHeight="true" outlineLevel="0" collapsed="false">
      <c r="B18" s="23" t="s">
        <v>60</v>
      </c>
      <c r="C18" s="23"/>
    </row>
  </sheetData>
  <mergeCells count="3">
    <mergeCell ref="B2:C2"/>
    <mergeCell ref="B3:C3"/>
    <mergeCell ref="B18:C18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37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20"/>
    <col collapsed="false" customWidth="true" hidden="false" outlineLevel="0" max="7" min="7" style="0" width="12"/>
  </cols>
  <sheetData>
    <row r="2" customFormat="false" ht="30" hidden="false" customHeight="true" outlineLevel="0" collapsed="false">
      <c r="B2" s="17" t="s">
        <v>61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62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63</v>
      </c>
      <c r="C5" s="24" t="s">
        <v>64</v>
      </c>
      <c r="D5" s="24" t="s">
        <v>65</v>
      </c>
      <c r="E5" s="24" t="s">
        <v>66</v>
      </c>
      <c r="F5" s="24" t="s">
        <v>67</v>
      </c>
      <c r="G5" s="24" t="s">
        <v>68</v>
      </c>
    </row>
    <row r="6" customFormat="false" ht="27.75" hidden="false" customHeight="true" outlineLevel="0" collapsed="false">
      <c r="B6" s="25" t="s">
        <v>67</v>
      </c>
      <c r="C6" s="26" t="s">
        <v>69</v>
      </c>
      <c r="D6" s="26" t="s">
        <v>70</v>
      </c>
      <c r="E6" s="26" t="s">
        <v>71</v>
      </c>
      <c r="F6" s="26" t="s">
        <v>72</v>
      </c>
      <c r="G6" s="26" t="s">
        <v>73</v>
      </c>
    </row>
    <row r="7" customFormat="false" ht="27.75" hidden="false" customHeight="true" outlineLevel="0" collapsed="false">
      <c r="B7" s="27" t="s">
        <v>74</v>
      </c>
      <c r="C7" s="28" t="s">
        <v>75</v>
      </c>
      <c r="D7" s="28" t="s">
        <v>76</v>
      </c>
      <c r="E7" s="28" t="s">
        <v>77</v>
      </c>
      <c r="F7" s="28" t="s">
        <v>78</v>
      </c>
      <c r="G7" s="28" t="s">
        <v>79</v>
      </c>
    </row>
    <row r="8" customFormat="false" ht="27.75" hidden="false" customHeight="true" outlineLevel="0" collapsed="false">
      <c r="B8" s="25" t="s">
        <v>80</v>
      </c>
      <c r="C8" s="26" t="s">
        <v>81</v>
      </c>
      <c r="D8" s="26" t="s">
        <v>82</v>
      </c>
      <c r="E8" s="26" t="s">
        <v>83</v>
      </c>
      <c r="F8" s="26" t="s">
        <v>84</v>
      </c>
      <c r="G8" s="26" t="s">
        <v>85</v>
      </c>
    </row>
    <row r="9" customFormat="false" ht="27.75" hidden="false" customHeight="true" outlineLevel="0" collapsed="false">
      <c r="B9" s="27" t="s">
        <v>84</v>
      </c>
      <c r="C9" s="28" t="s">
        <v>86</v>
      </c>
      <c r="D9" s="28" t="s">
        <v>87</v>
      </c>
      <c r="E9" s="28" t="s">
        <v>88</v>
      </c>
      <c r="F9" s="28" t="s">
        <v>89</v>
      </c>
      <c r="G9" s="28" t="s">
        <v>90</v>
      </c>
    </row>
    <row r="10" customFormat="false" ht="27.75" hidden="false" customHeight="true" outlineLevel="0" collapsed="false">
      <c r="B10" s="25" t="s">
        <v>89</v>
      </c>
      <c r="C10" s="26" t="s">
        <v>91</v>
      </c>
      <c r="D10" s="26" t="s">
        <v>92</v>
      </c>
      <c r="E10" s="26" t="s">
        <v>93</v>
      </c>
      <c r="F10" s="26" t="s">
        <v>94</v>
      </c>
      <c r="G10" s="26" t="s">
        <v>95</v>
      </c>
    </row>
    <row r="11" customFormat="false" ht="27.75" hidden="false" customHeight="true" outlineLevel="0" collapsed="false">
      <c r="B11" s="27" t="s">
        <v>96</v>
      </c>
      <c r="C11" s="28" t="s">
        <v>97</v>
      </c>
      <c r="D11" s="28" t="s">
        <v>98</v>
      </c>
      <c r="E11" s="28" t="s">
        <v>99</v>
      </c>
      <c r="F11" s="28" t="s">
        <v>100</v>
      </c>
      <c r="G11" s="28" t="s">
        <v>101</v>
      </c>
    </row>
    <row r="12" customFormat="false" ht="27.75" hidden="false" customHeight="true" outlineLevel="0" collapsed="false">
      <c r="B12" s="25" t="s">
        <v>102</v>
      </c>
      <c r="C12" s="26" t="s">
        <v>103</v>
      </c>
      <c r="D12" s="26" t="s">
        <v>104</v>
      </c>
      <c r="E12" s="26" t="s">
        <v>105</v>
      </c>
      <c r="F12" s="26" t="s">
        <v>106</v>
      </c>
      <c r="G12" s="26" t="s">
        <v>107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2"/>
  </cols>
  <sheetData>
    <row r="2" customFormat="false" ht="30" hidden="false" customHeight="true" outlineLevel="0" collapsed="false">
      <c r="B2" s="17" t="s">
        <v>108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109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110</v>
      </c>
      <c r="C5" s="24" t="s">
        <v>111</v>
      </c>
      <c r="D5" s="24" t="s">
        <v>112</v>
      </c>
      <c r="E5" s="24" t="s">
        <v>89</v>
      </c>
      <c r="F5" s="24" t="s">
        <v>100</v>
      </c>
      <c r="G5" s="24" t="s">
        <v>113</v>
      </c>
    </row>
    <row r="6" customFormat="false" ht="27.75" hidden="false" customHeight="true" outlineLevel="0" collapsed="false">
      <c r="B6" s="25" t="s">
        <v>114</v>
      </c>
      <c r="C6" s="29" t="s">
        <v>115</v>
      </c>
      <c r="D6" s="30" t="s">
        <v>116</v>
      </c>
      <c r="E6" s="31" t="s">
        <v>117</v>
      </c>
      <c r="F6" s="32" t="s">
        <v>118</v>
      </c>
      <c r="G6" s="31" t="s">
        <v>117</v>
      </c>
    </row>
    <row r="7" customFormat="false" ht="27.75" hidden="false" customHeight="true" outlineLevel="0" collapsed="false">
      <c r="B7" s="27" t="s">
        <v>119</v>
      </c>
      <c r="C7" s="29" t="s">
        <v>115</v>
      </c>
      <c r="D7" s="30" t="s">
        <v>116</v>
      </c>
      <c r="E7" s="31" t="s">
        <v>117</v>
      </c>
      <c r="F7" s="28"/>
      <c r="G7" s="28"/>
    </row>
    <row r="8" customFormat="false" ht="27.75" hidden="false" customHeight="true" outlineLevel="0" collapsed="false">
      <c r="B8" s="25" t="s">
        <v>120</v>
      </c>
      <c r="C8" s="29" t="s">
        <v>115</v>
      </c>
      <c r="D8" s="30" t="s">
        <v>116</v>
      </c>
      <c r="E8" s="32" t="s">
        <v>118</v>
      </c>
      <c r="F8" s="32" t="s">
        <v>118</v>
      </c>
      <c r="G8" s="32" t="s">
        <v>118</v>
      </c>
    </row>
    <row r="9" customFormat="false" ht="27.75" hidden="false" customHeight="true" outlineLevel="0" collapsed="false">
      <c r="B9" s="27" t="s">
        <v>121</v>
      </c>
      <c r="C9" s="29" t="s">
        <v>115</v>
      </c>
      <c r="D9" s="30" t="s">
        <v>116</v>
      </c>
      <c r="E9" s="32" t="s">
        <v>118</v>
      </c>
      <c r="F9" s="32" t="s">
        <v>118</v>
      </c>
      <c r="G9" s="32" t="s">
        <v>118</v>
      </c>
    </row>
    <row r="10" customFormat="false" ht="27.75" hidden="false" customHeight="true" outlineLevel="0" collapsed="false">
      <c r="B10" s="25" t="s">
        <v>122</v>
      </c>
      <c r="C10" s="31" t="s">
        <v>117</v>
      </c>
      <c r="D10" s="29" t="s">
        <v>115</v>
      </c>
      <c r="E10" s="30" t="s">
        <v>116</v>
      </c>
      <c r="F10" s="32" t="s">
        <v>118</v>
      </c>
      <c r="G10" s="32" t="s">
        <v>118</v>
      </c>
    </row>
    <row r="11" customFormat="false" ht="27.75" hidden="false" customHeight="true" outlineLevel="0" collapsed="false">
      <c r="B11" s="27" t="s">
        <v>123</v>
      </c>
      <c r="C11" s="32" t="s">
        <v>118</v>
      </c>
      <c r="D11" s="29" t="s">
        <v>115</v>
      </c>
      <c r="E11" s="30" t="s">
        <v>116</v>
      </c>
      <c r="F11" s="32" t="s">
        <v>118</v>
      </c>
      <c r="G11" s="31" t="s">
        <v>117</v>
      </c>
    </row>
    <row r="12" customFormat="false" ht="27.75" hidden="false" customHeight="true" outlineLevel="0" collapsed="false">
      <c r="B12" s="25" t="s">
        <v>124</v>
      </c>
      <c r="C12" s="26"/>
      <c r="D12" s="29" t="s">
        <v>115</v>
      </c>
      <c r="E12" s="30" t="s">
        <v>116</v>
      </c>
      <c r="F12" s="26"/>
      <c r="G12" s="31" t="s">
        <v>117</v>
      </c>
    </row>
    <row r="13" customFormat="false" ht="27.75" hidden="false" customHeight="true" outlineLevel="0" collapsed="false">
      <c r="B13" s="27" t="s">
        <v>125</v>
      </c>
      <c r="C13" s="29" t="s">
        <v>115</v>
      </c>
      <c r="D13" s="30" t="s">
        <v>116</v>
      </c>
      <c r="E13" s="31" t="s">
        <v>117</v>
      </c>
      <c r="F13" s="28"/>
      <c r="G13" s="28"/>
    </row>
    <row r="14" customFormat="false" ht="27.75" hidden="false" customHeight="true" outlineLevel="0" collapsed="false">
      <c r="B14" s="25" t="s">
        <v>126</v>
      </c>
      <c r="C14" s="29" t="s">
        <v>115</v>
      </c>
      <c r="D14" s="30" t="s">
        <v>116</v>
      </c>
      <c r="E14" s="31" t="s">
        <v>117</v>
      </c>
      <c r="F14" s="32" t="s">
        <v>118</v>
      </c>
      <c r="G14" s="26"/>
    </row>
    <row r="15" customFormat="false" ht="27.75" hidden="false" customHeight="true" outlineLevel="0" collapsed="false">
      <c r="B15" s="27" t="s">
        <v>127</v>
      </c>
      <c r="C15" s="29" t="s">
        <v>115</v>
      </c>
      <c r="D15" s="30" t="s">
        <v>116</v>
      </c>
      <c r="E15" s="31" t="s">
        <v>117</v>
      </c>
      <c r="F15" s="28"/>
      <c r="G15" s="28"/>
    </row>
    <row r="16" customFormat="false" ht="27.75" hidden="false" customHeight="true" outlineLevel="0" collapsed="false">
      <c r="B16" s="25" t="s">
        <v>128</v>
      </c>
      <c r="C16" s="31" t="s">
        <v>117</v>
      </c>
      <c r="D16" s="29" t="s">
        <v>115</v>
      </c>
      <c r="E16" s="30" t="s">
        <v>116</v>
      </c>
      <c r="F16" s="32" t="s">
        <v>118</v>
      </c>
      <c r="G16" s="32" t="s">
        <v>118</v>
      </c>
    </row>
    <row r="17" customFormat="false" ht="27.75" hidden="false" customHeight="true" outlineLevel="0" collapsed="false">
      <c r="B17" s="27" t="s">
        <v>129</v>
      </c>
      <c r="C17" s="31" t="s">
        <v>117</v>
      </c>
      <c r="D17" s="29" t="s">
        <v>115</v>
      </c>
      <c r="E17" s="30" t="s">
        <v>116</v>
      </c>
      <c r="F17" s="28"/>
      <c r="G17" s="28"/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23"/>
    <col collapsed="false" customWidth="true" hidden="false" outlineLevel="0" max="5" min="5" style="0" width="48"/>
    <col collapsed="false" customWidth="true" hidden="false" outlineLevel="0" max="7" min="6" style="0" width="12"/>
  </cols>
  <sheetData>
    <row r="2" customFormat="false" ht="30" hidden="false" customHeight="true" outlineLevel="0" collapsed="false">
      <c r="B2" s="17" t="s">
        <v>130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131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132</v>
      </c>
      <c r="C5" s="24" t="s">
        <v>133</v>
      </c>
      <c r="D5" s="24" t="s">
        <v>134</v>
      </c>
      <c r="E5" s="24" t="s">
        <v>135</v>
      </c>
      <c r="F5" s="24" t="s">
        <v>136</v>
      </c>
      <c r="G5" s="24" t="s">
        <v>68</v>
      </c>
    </row>
    <row r="6" customFormat="false" ht="27.75" hidden="false" customHeight="true" outlineLevel="0" collapsed="false">
      <c r="B6" s="25" t="n">
        <v>1</v>
      </c>
      <c r="C6" s="26" t="s">
        <v>137</v>
      </c>
      <c r="D6" s="26" t="s">
        <v>138</v>
      </c>
      <c r="E6" s="26" t="s">
        <v>139</v>
      </c>
      <c r="F6" s="26" t="s">
        <v>140</v>
      </c>
      <c r="G6" s="26" t="s">
        <v>73</v>
      </c>
    </row>
    <row r="7" customFormat="false" ht="27.75" hidden="false" customHeight="true" outlineLevel="0" collapsed="false">
      <c r="B7" s="27" t="n">
        <v>2</v>
      </c>
      <c r="C7" s="28" t="s">
        <v>111</v>
      </c>
      <c r="D7" s="28" t="s">
        <v>141</v>
      </c>
      <c r="E7" s="28" t="s">
        <v>142</v>
      </c>
      <c r="F7" s="28" t="s">
        <v>143</v>
      </c>
      <c r="G7" s="28" t="s">
        <v>79</v>
      </c>
    </row>
    <row r="8" customFormat="false" ht="27.75" hidden="false" customHeight="true" outlineLevel="0" collapsed="false">
      <c r="B8" s="25" t="n">
        <v>3</v>
      </c>
      <c r="C8" s="26" t="s">
        <v>144</v>
      </c>
      <c r="D8" s="26" t="s">
        <v>145</v>
      </c>
      <c r="E8" s="26" t="s">
        <v>146</v>
      </c>
      <c r="F8" s="26" t="s">
        <v>147</v>
      </c>
      <c r="G8" s="26" t="s">
        <v>85</v>
      </c>
    </row>
    <row r="9" customFormat="false" ht="27.75" hidden="false" customHeight="true" outlineLevel="0" collapsed="false">
      <c r="B9" s="27" t="n">
        <v>4</v>
      </c>
      <c r="C9" s="28" t="s">
        <v>144</v>
      </c>
      <c r="D9" s="28" t="s">
        <v>148</v>
      </c>
      <c r="E9" s="28" t="s">
        <v>149</v>
      </c>
      <c r="F9" s="28" t="s">
        <v>150</v>
      </c>
      <c r="G9" s="28" t="s">
        <v>85</v>
      </c>
    </row>
    <row r="10" customFormat="false" ht="27.75" hidden="false" customHeight="true" outlineLevel="0" collapsed="false">
      <c r="B10" s="25" t="n">
        <v>5</v>
      </c>
      <c r="C10" s="26" t="s">
        <v>89</v>
      </c>
      <c r="D10" s="26" t="s">
        <v>151</v>
      </c>
      <c r="E10" s="26" t="s">
        <v>152</v>
      </c>
      <c r="F10" s="26" t="s">
        <v>147</v>
      </c>
      <c r="G10" s="26" t="s">
        <v>90</v>
      </c>
    </row>
    <row r="11" customFormat="false" ht="27.75" hidden="false" customHeight="true" outlineLevel="0" collapsed="false">
      <c r="B11" s="27" t="n">
        <v>6</v>
      </c>
      <c r="C11" s="28" t="s">
        <v>144</v>
      </c>
      <c r="D11" s="28" t="s">
        <v>153</v>
      </c>
      <c r="E11" s="28" t="s">
        <v>154</v>
      </c>
      <c r="F11" s="28" t="s">
        <v>140</v>
      </c>
      <c r="G11" s="28" t="s">
        <v>95</v>
      </c>
    </row>
    <row r="12" customFormat="false" ht="27.75" hidden="false" customHeight="true" outlineLevel="0" collapsed="false">
      <c r="B12" s="25" t="n">
        <v>7</v>
      </c>
      <c r="C12" s="26" t="s">
        <v>111</v>
      </c>
      <c r="D12" s="26" t="s">
        <v>155</v>
      </c>
      <c r="E12" s="26" t="s">
        <v>156</v>
      </c>
      <c r="F12" s="26" t="s">
        <v>140</v>
      </c>
      <c r="G12" s="26" t="s">
        <v>101</v>
      </c>
    </row>
    <row r="13" customFormat="false" ht="27.75" hidden="false" customHeight="true" outlineLevel="0" collapsed="false">
      <c r="B13" s="27" t="n">
        <v>8</v>
      </c>
      <c r="C13" s="28" t="s">
        <v>111</v>
      </c>
      <c r="D13" s="28" t="s">
        <v>157</v>
      </c>
      <c r="E13" s="28" t="s">
        <v>158</v>
      </c>
      <c r="F13" s="28" t="s">
        <v>159</v>
      </c>
      <c r="G13" s="28" t="s">
        <v>107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48"/>
    <col collapsed="false" customWidth="true" hidden="false" outlineLevel="0" max="7" min="7" style="0" width="14"/>
  </cols>
  <sheetData>
    <row r="2" customFormat="false" ht="30" hidden="false" customHeight="true" outlineLevel="0" collapsed="false">
      <c r="B2" s="17" t="s">
        <v>160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161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162</v>
      </c>
      <c r="C5" s="24" t="s">
        <v>163</v>
      </c>
      <c r="D5" s="24" t="s">
        <v>164</v>
      </c>
      <c r="E5" s="24" t="s">
        <v>165</v>
      </c>
      <c r="F5" s="24" t="s">
        <v>166</v>
      </c>
      <c r="G5" s="24" t="s">
        <v>167</v>
      </c>
    </row>
    <row r="6" customFormat="false" ht="27.75" hidden="false" customHeight="true" outlineLevel="0" collapsed="false">
      <c r="B6" s="25" t="s">
        <v>168</v>
      </c>
      <c r="C6" s="26" t="s">
        <v>169</v>
      </c>
      <c r="D6" s="26" t="s">
        <v>170</v>
      </c>
      <c r="E6" s="26" t="s">
        <v>171</v>
      </c>
      <c r="F6" s="26" t="s">
        <v>172</v>
      </c>
      <c r="G6" s="26" t="s">
        <v>173</v>
      </c>
    </row>
    <row r="7" customFormat="false" ht="27.75" hidden="false" customHeight="true" outlineLevel="0" collapsed="false">
      <c r="B7" s="27" t="s">
        <v>174</v>
      </c>
      <c r="C7" s="28" t="s">
        <v>169</v>
      </c>
      <c r="D7" s="28" t="s">
        <v>175</v>
      </c>
      <c r="E7" s="28" t="s">
        <v>176</v>
      </c>
      <c r="F7" s="28" t="s">
        <v>177</v>
      </c>
      <c r="G7" s="28" t="s">
        <v>173</v>
      </c>
    </row>
    <row r="8" customFormat="false" ht="27.75" hidden="false" customHeight="true" outlineLevel="0" collapsed="false">
      <c r="B8" s="25" t="s">
        <v>178</v>
      </c>
      <c r="C8" s="26" t="s">
        <v>169</v>
      </c>
      <c r="D8" s="26" t="s">
        <v>179</v>
      </c>
      <c r="E8" s="26" t="s">
        <v>180</v>
      </c>
      <c r="F8" s="26" t="s">
        <v>181</v>
      </c>
      <c r="G8" s="26" t="s">
        <v>111</v>
      </c>
    </row>
    <row r="9" customFormat="false" ht="27.75" hidden="false" customHeight="true" outlineLevel="0" collapsed="false">
      <c r="B9" s="27" t="s">
        <v>182</v>
      </c>
      <c r="C9" s="28" t="s">
        <v>183</v>
      </c>
      <c r="D9" s="28" t="s">
        <v>184</v>
      </c>
      <c r="E9" s="28" t="s">
        <v>185</v>
      </c>
      <c r="F9" s="28" t="s">
        <v>186</v>
      </c>
      <c r="G9" s="28" t="s">
        <v>187</v>
      </c>
    </row>
    <row r="10" customFormat="false" ht="27.75" hidden="false" customHeight="true" outlineLevel="0" collapsed="false">
      <c r="B10" s="25" t="s">
        <v>188</v>
      </c>
      <c r="C10" s="26" t="s">
        <v>183</v>
      </c>
      <c r="D10" s="26" t="s">
        <v>189</v>
      </c>
      <c r="E10" s="26" t="s">
        <v>190</v>
      </c>
      <c r="F10" s="26" t="s">
        <v>191</v>
      </c>
      <c r="G10" s="26" t="s">
        <v>192</v>
      </c>
    </row>
    <row r="11" customFormat="false" ht="27.75" hidden="false" customHeight="true" outlineLevel="0" collapsed="false">
      <c r="B11" s="27" t="s">
        <v>193</v>
      </c>
      <c r="C11" s="28" t="s">
        <v>183</v>
      </c>
      <c r="D11" s="28" t="s">
        <v>194</v>
      </c>
      <c r="E11" s="28" t="s">
        <v>195</v>
      </c>
      <c r="F11" s="28" t="s">
        <v>196</v>
      </c>
      <c r="G11" s="28" t="s">
        <v>197</v>
      </c>
    </row>
    <row r="12" customFormat="false" ht="27.75" hidden="false" customHeight="true" outlineLevel="0" collapsed="false">
      <c r="B12" s="25" t="s">
        <v>198</v>
      </c>
      <c r="C12" s="26" t="s">
        <v>199</v>
      </c>
      <c r="D12" s="26" t="s">
        <v>200</v>
      </c>
      <c r="E12" s="26" t="s">
        <v>201</v>
      </c>
      <c r="F12" s="26" t="s">
        <v>202</v>
      </c>
      <c r="G12" s="26" t="s">
        <v>203</v>
      </c>
    </row>
    <row r="13" customFormat="false" ht="27.75" hidden="false" customHeight="true" outlineLevel="0" collapsed="false">
      <c r="B13" s="27" t="s">
        <v>204</v>
      </c>
      <c r="C13" s="28" t="s">
        <v>199</v>
      </c>
      <c r="D13" s="28" t="s">
        <v>205</v>
      </c>
      <c r="E13" s="28" t="s">
        <v>206</v>
      </c>
      <c r="F13" s="28" t="s">
        <v>207</v>
      </c>
      <c r="G13" s="28" t="s">
        <v>111</v>
      </c>
    </row>
    <row r="14" customFormat="false" ht="27.75" hidden="false" customHeight="true" outlineLevel="0" collapsed="false">
      <c r="B14" s="25" t="s">
        <v>208</v>
      </c>
      <c r="C14" s="26" t="s">
        <v>209</v>
      </c>
      <c r="D14" s="26" t="s">
        <v>210</v>
      </c>
      <c r="E14" s="26" t="s">
        <v>211</v>
      </c>
      <c r="F14" s="26" t="s">
        <v>212</v>
      </c>
      <c r="G14" s="26" t="s">
        <v>111</v>
      </c>
    </row>
    <row r="15" customFormat="false" ht="27.75" hidden="false" customHeight="true" outlineLevel="0" collapsed="false">
      <c r="B15" s="27" t="s">
        <v>213</v>
      </c>
      <c r="C15" s="28" t="s">
        <v>209</v>
      </c>
      <c r="D15" s="28" t="s">
        <v>214</v>
      </c>
      <c r="E15" s="28" t="s">
        <v>215</v>
      </c>
      <c r="F15" s="28" t="s">
        <v>216</v>
      </c>
      <c r="G15" s="28" t="s">
        <v>173</v>
      </c>
    </row>
    <row r="16" customFormat="false" ht="27.75" hidden="false" customHeight="true" outlineLevel="0" collapsed="false">
      <c r="B16" s="25" t="s">
        <v>217</v>
      </c>
      <c r="C16" s="26" t="s">
        <v>218</v>
      </c>
      <c r="D16" s="26" t="s">
        <v>219</v>
      </c>
      <c r="E16" s="26" t="s">
        <v>195</v>
      </c>
      <c r="F16" s="26" t="s">
        <v>220</v>
      </c>
      <c r="G16" s="26" t="s">
        <v>111</v>
      </c>
    </row>
    <row r="17" customFormat="false" ht="27.75" hidden="false" customHeight="true" outlineLevel="0" collapsed="false">
      <c r="B17" s="27" t="s">
        <v>221</v>
      </c>
      <c r="C17" s="28" t="s">
        <v>218</v>
      </c>
      <c r="D17" s="28" t="s">
        <v>222</v>
      </c>
      <c r="E17" s="28" t="s">
        <v>223</v>
      </c>
      <c r="F17" s="28" t="s">
        <v>224</v>
      </c>
      <c r="G17" s="28" t="s">
        <v>96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48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2"/>
  </cols>
  <sheetData>
    <row r="2" customFormat="false" ht="30" hidden="false" customHeight="true" outlineLevel="0" collapsed="false">
      <c r="B2" s="17" t="s">
        <v>225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226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227</v>
      </c>
      <c r="C5" s="24" t="s">
        <v>228</v>
      </c>
      <c r="D5" s="24" t="s">
        <v>229</v>
      </c>
      <c r="E5" s="24" t="s">
        <v>230</v>
      </c>
      <c r="F5" s="24" t="s">
        <v>231</v>
      </c>
      <c r="G5" s="24" t="s">
        <v>232</v>
      </c>
    </row>
    <row r="6" customFormat="false" ht="27.75" hidden="false" customHeight="true" outlineLevel="0" collapsed="false">
      <c r="B6" s="25" t="s">
        <v>169</v>
      </c>
      <c r="C6" s="26"/>
      <c r="D6" s="26" t="str">
        <f aca="false">IF(C6="","",IF(SUM($C$6:$C$12)=0,0,C6/SUM($C$6:$C$12)))</f>
        <v/>
      </c>
      <c r="E6" s="26" t="str">
        <f aca="false">IF(C6="","",SUM($C$6:C6)/SUM($C$6:$C$12))</f>
        <v/>
      </c>
      <c r="F6" s="26" t="str">
        <f aca="false">IF(E6="","",IF(E6&lt;=0.8,"✓",""))</f>
        <v/>
      </c>
      <c r="G6" s="26"/>
    </row>
    <row r="7" customFormat="false" ht="27.75" hidden="false" customHeight="true" outlineLevel="0" collapsed="false">
      <c r="B7" s="27" t="s">
        <v>183</v>
      </c>
      <c r="C7" s="28"/>
      <c r="D7" s="28" t="str">
        <f aca="false">IF(C7="","",IF(SUM($C$6:$C$12)=0,0,C7/SUM($C$6:$C$12)))</f>
        <v/>
      </c>
      <c r="E7" s="28" t="str">
        <f aca="false">IF(C7="","",SUM($C$6:C7)/SUM($C$6:$C$12))</f>
        <v/>
      </c>
      <c r="F7" s="28" t="str">
        <f aca="false">IF(E7="","",IF(E7&lt;=0.8,"✓",""))</f>
        <v/>
      </c>
      <c r="G7" s="28"/>
    </row>
    <row r="8" customFormat="false" ht="27.75" hidden="false" customHeight="true" outlineLevel="0" collapsed="false">
      <c r="B8" s="25" t="s">
        <v>199</v>
      </c>
      <c r="C8" s="26"/>
      <c r="D8" s="26" t="str">
        <f aca="false">IF(C8="","",IF(SUM($C$6:$C$12)=0,0,C8/SUM($C$6:$C$12)))</f>
        <v/>
      </c>
      <c r="E8" s="26" t="str">
        <f aca="false">IF(C8="","",SUM($C$6:C8)/SUM($C$6:$C$12))</f>
        <v/>
      </c>
      <c r="F8" s="26" t="str">
        <f aca="false">IF(E8="","",IF(E8&lt;=0.8,"✓",""))</f>
        <v/>
      </c>
      <c r="G8" s="26"/>
    </row>
    <row r="9" customFormat="false" ht="27.75" hidden="false" customHeight="true" outlineLevel="0" collapsed="false">
      <c r="B9" s="27" t="s">
        <v>209</v>
      </c>
      <c r="C9" s="28"/>
      <c r="D9" s="28" t="str">
        <f aca="false">IF(C9="","",IF(SUM($C$6:$C$12)=0,0,C9/SUM($C$6:$C$12)))</f>
        <v/>
      </c>
      <c r="E9" s="28" t="str">
        <f aca="false">IF(C9="","",SUM($C$6:C9)/SUM($C$6:$C$12))</f>
        <v/>
      </c>
      <c r="F9" s="28" t="str">
        <f aca="false">IF(E9="","",IF(E9&lt;=0.8,"✓",""))</f>
        <v/>
      </c>
      <c r="G9" s="28"/>
    </row>
    <row r="10" customFormat="false" ht="27.75" hidden="false" customHeight="true" outlineLevel="0" collapsed="false">
      <c r="B10" s="25" t="s">
        <v>218</v>
      </c>
      <c r="C10" s="26"/>
      <c r="D10" s="26" t="str">
        <f aca="false">IF(C10="","",IF(SUM($C$6:$C$12)=0,0,C10/SUM($C$6:$C$12)))</f>
        <v/>
      </c>
      <c r="E10" s="26" t="str">
        <f aca="false">IF(C10="","",SUM($C$6:C10)/SUM($C$6:$C$12))</f>
        <v/>
      </c>
      <c r="F10" s="26" t="str">
        <f aca="false">IF(E10="","",IF(E10&lt;=0.8,"✓",""))</f>
        <v/>
      </c>
      <c r="G10" s="26"/>
    </row>
    <row r="11" customFormat="false" ht="27.75" hidden="false" customHeight="true" outlineLevel="0" collapsed="false">
      <c r="B11" s="27" t="s">
        <v>233</v>
      </c>
      <c r="C11" s="28"/>
      <c r="D11" s="28" t="str">
        <f aca="false">IF(C11="","",IF(SUM($C$6:$C$12)=0,0,C11/SUM($C$6:$C$12)))</f>
        <v/>
      </c>
      <c r="E11" s="28" t="str">
        <f aca="false">IF(C11="","",SUM($C$6:C11)/SUM($C$6:$C$12))</f>
        <v/>
      </c>
      <c r="F11" s="28" t="str">
        <f aca="false">IF(E11="","",IF(E11&lt;=0.8,"✓",""))</f>
        <v/>
      </c>
      <c r="G11" s="28"/>
    </row>
    <row r="12" customFormat="false" ht="27.75" hidden="false" customHeight="true" outlineLevel="0" collapsed="false">
      <c r="B12" s="25" t="s">
        <v>234</v>
      </c>
      <c r="C12" s="26"/>
      <c r="D12" s="26" t="str">
        <f aca="false">IF(C12="","",IF(SUM($C$6:$C$12)=0,0,C12/SUM($C$6:$C$12)))</f>
        <v/>
      </c>
      <c r="E12" s="26" t="str">
        <f aca="false">IF(C12="","",SUM($C$6:C12)/SUM($C$6:$C$12))</f>
        <v/>
      </c>
      <c r="F12" s="26" t="str">
        <f aca="false">IF(E12="","",IF(E12&lt;=0.8,"✓",""))</f>
        <v/>
      </c>
      <c r="G12" s="26"/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6"/>
  </cols>
  <sheetData>
    <row r="2" customFormat="false" ht="30" hidden="false" customHeight="true" outlineLevel="0" collapsed="false">
      <c r="B2" s="33" t="s">
        <v>235</v>
      </c>
      <c r="C2" s="33"/>
      <c r="D2" s="33"/>
      <c r="E2" s="33"/>
      <c r="F2" s="33"/>
      <c r="G2" s="33"/>
      <c r="H2" s="33"/>
      <c r="I2" s="33"/>
      <c r="J2" s="33"/>
    </row>
    <row r="3" customFormat="false" ht="15.75" hidden="false" customHeight="true" outlineLevel="0" collapsed="false">
      <c r="B3" s="34" t="s">
        <v>236</v>
      </c>
      <c r="C3" s="34"/>
      <c r="D3" s="34"/>
      <c r="E3" s="34"/>
      <c r="F3" s="34"/>
      <c r="G3" s="34"/>
      <c r="H3" s="34"/>
      <c r="I3" s="34"/>
      <c r="J3" s="34"/>
    </row>
    <row r="5" customFormat="false" ht="25.5" hidden="false" customHeight="true" outlineLevel="0" collapsed="false">
      <c r="B5" s="24" t="s">
        <v>237</v>
      </c>
      <c r="C5" s="24" t="s">
        <v>238</v>
      </c>
      <c r="D5" s="24" t="s">
        <v>239</v>
      </c>
      <c r="E5" s="24" t="s">
        <v>240</v>
      </c>
      <c r="F5" s="24" t="s">
        <v>241</v>
      </c>
      <c r="G5" s="24" t="s">
        <v>242</v>
      </c>
      <c r="H5" s="24" t="s">
        <v>243</v>
      </c>
      <c r="I5" s="24" t="s">
        <v>68</v>
      </c>
      <c r="J5" s="24" t="s">
        <v>244</v>
      </c>
    </row>
    <row r="6" customFormat="false" ht="21.75" hidden="false" customHeight="true" outlineLevel="0" collapsed="false">
      <c r="B6" s="35" t="s">
        <v>245</v>
      </c>
      <c r="C6" s="36" t="n">
        <v>18</v>
      </c>
      <c r="D6" s="36" t="n">
        <v>10</v>
      </c>
      <c r="E6" s="37" t="n">
        <v>5</v>
      </c>
      <c r="F6" s="37" t="n">
        <v>15</v>
      </c>
      <c r="G6" s="37" t="n">
        <v>30</v>
      </c>
      <c r="H6" s="38" t="str">
        <f aca="false">IF(C6&lt;=D6,"● On Target",IF(C6&lt;=F6,"● Near","● Off Target"))</f>
        <v>● Off Target</v>
      </c>
      <c r="I6" s="39" t="s">
        <v>95</v>
      </c>
      <c r="J6" s="40" t="s">
        <v>246</v>
      </c>
    </row>
    <row r="7" customFormat="false" ht="21.75" hidden="false" customHeight="true" outlineLevel="0" collapsed="false">
      <c r="B7" s="35" t="s">
        <v>247</v>
      </c>
      <c r="C7" s="41" t="n">
        <v>4.5</v>
      </c>
      <c r="D7" s="41" t="n">
        <v>2</v>
      </c>
      <c r="E7" s="42" t="n">
        <v>1</v>
      </c>
      <c r="F7" s="42" t="n">
        <v>3</v>
      </c>
      <c r="G7" s="42" t="n">
        <v>8</v>
      </c>
      <c r="H7" s="38" t="str">
        <f aca="false">IF(C7&gt;=D7,"● On Target",IF(C7&gt;=F7,"● Near","● Off Target"))</f>
        <v>● On Target</v>
      </c>
      <c r="I7" s="39" t="s">
        <v>73</v>
      </c>
      <c r="J7" s="40" t="s">
        <v>248</v>
      </c>
    </row>
    <row r="8" customFormat="false" ht="21.75" hidden="false" customHeight="true" outlineLevel="0" collapsed="false">
      <c r="B8" s="35" t="s">
        <v>249</v>
      </c>
      <c r="C8" s="41" t="n">
        <v>55</v>
      </c>
      <c r="D8" s="41" t="n">
        <v>75</v>
      </c>
      <c r="E8" s="42" t="n">
        <v>85</v>
      </c>
      <c r="F8" s="42" t="n">
        <v>60</v>
      </c>
      <c r="G8" s="42" t="n">
        <v>40</v>
      </c>
      <c r="H8" s="38" t="str">
        <f aca="false">IF(C8&gt;=D8,"● On Target",IF(C8&gt;=F8,"● Near","● Off Target"))</f>
        <v>● Off Target</v>
      </c>
      <c r="I8" s="39" t="s">
        <v>90</v>
      </c>
      <c r="J8" s="40" t="s">
        <v>250</v>
      </c>
    </row>
    <row r="9" customFormat="false" ht="21.75" hidden="false" customHeight="true" outlineLevel="0" collapsed="false">
      <c r="B9" s="35" t="s">
        <v>251</v>
      </c>
      <c r="C9" s="41" t="n">
        <v>78</v>
      </c>
      <c r="D9" s="41" t="n">
        <v>92</v>
      </c>
      <c r="E9" s="42" t="n">
        <v>95</v>
      </c>
      <c r="F9" s="42" t="n">
        <v>80</v>
      </c>
      <c r="G9" s="42" t="n">
        <v>60</v>
      </c>
      <c r="H9" s="38" t="str">
        <f aca="false">IF(C9&gt;=D9,"● On Target",IF(C9&gt;=F9,"● Near","● Off Target"))</f>
        <v>● Off Target</v>
      </c>
      <c r="I9" s="39" t="s">
        <v>101</v>
      </c>
      <c r="J9" s="40" t="s">
        <v>252</v>
      </c>
    </row>
    <row r="10" customFormat="false" ht="21.75" hidden="false" customHeight="true" outlineLevel="0" collapsed="false">
      <c r="B10" s="35" t="s">
        <v>253</v>
      </c>
      <c r="C10" s="41" t="n">
        <v>2.8</v>
      </c>
      <c r="D10" s="41" t="n">
        <v>1.2</v>
      </c>
      <c r="E10" s="42" t="n">
        <v>0.5</v>
      </c>
      <c r="F10" s="42" t="n">
        <v>1.5</v>
      </c>
      <c r="G10" s="42" t="n">
        <v>4</v>
      </c>
      <c r="H10" s="38" t="str">
        <f aca="false">IF(C10&gt;=D10,"● On Target",IF(C10&gt;=F10,"● Near","● Off Target"))</f>
        <v>● On Target</v>
      </c>
      <c r="I10" s="39" t="s">
        <v>107</v>
      </c>
      <c r="J10" s="40" t="s">
        <v>254</v>
      </c>
    </row>
    <row r="11" customFormat="false" ht="21.75" hidden="false" customHeight="true" outlineLevel="0" collapsed="false">
      <c r="B11" s="35" t="s">
        <v>255</v>
      </c>
      <c r="C11" s="36" t="n">
        <v>15</v>
      </c>
      <c r="D11" s="36" t="n">
        <v>5</v>
      </c>
      <c r="E11" s="37" t="n">
        <v>2</v>
      </c>
      <c r="F11" s="37" t="n">
        <v>10</v>
      </c>
      <c r="G11" s="37" t="n">
        <v>25</v>
      </c>
      <c r="H11" s="38" t="str">
        <f aca="false">IF(C11&lt;=D11,"● On Target",IF(C11&lt;=F11,"● Near","● Off Target"))</f>
        <v>● Off Target</v>
      </c>
      <c r="I11" s="39" t="s">
        <v>95</v>
      </c>
      <c r="J11" s="40" t="s">
        <v>256</v>
      </c>
    </row>
    <row r="12" customFormat="false" ht="21.75" hidden="false" customHeight="true" outlineLevel="0" collapsed="false">
      <c r="B12" s="35" t="s">
        <v>257</v>
      </c>
      <c r="C12" s="41" t="n">
        <v>20</v>
      </c>
      <c r="D12" s="41" t="n">
        <v>10</v>
      </c>
      <c r="E12" s="42" t="n">
        <v>5</v>
      </c>
      <c r="F12" s="42" t="n">
        <v>15</v>
      </c>
      <c r="G12" s="42" t="n">
        <v>30</v>
      </c>
      <c r="H12" s="38" t="str">
        <f aca="false">IF(C12&gt;=D12,"● On Target",IF(C12&gt;=F12,"● Near","● Off Target"))</f>
        <v>● On Target</v>
      </c>
      <c r="I12" s="39" t="s">
        <v>85</v>
      </c>
      <c r="J12" s="40" t="s">
        <v>258</v>
      </c>
    </row>
    <row r="14" customFormat="false" ht="15" hidden="false" customHeight="false" outlineLevel="0" collapsed="false">
      <c r="B14" s="43" t="s">
        <v>259</v>
      </c>
    </row>
  </sheetData>
  <mergeCells count="2">
    <mergeCell ref="B2:J2"/>
    <mergeCell ref="B3:J3"/>
  </mergeCells>
  <conditionalFormatting sqref="H6:H12">
    <cfRule type="expression" priority="2" aboveAverage="0" equalAverage="0" bottom="0" percent="0" rank="0" text="" dxfId="0">
      <formula>ISNUMBER(SEARCH("On Target",H6))</formula>
    </cfRule>
    <cfRule type="expression" priority="3" aboveAverage="0" equalAverage="0" bottom="0" percent="0" rank="0" text="" dxfId="1">
      <formula>ISNUMBER(SEARCH("Near",H6))</formula>
    </cfRule>
    <cfRule type="expression" priority="4" aboveAverage="0" equalAverage="0" bottom="0" percent="0" rank="0" text="" dxfId="2">
      <formula>ISNUMBER(SEARCH("Off Target",H6))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2"/>
    <col collapsed="false" customWidth="true" hidden="false" outlineLevel="0" max="6" min="6" style="0" width="15"/>
  </cols>
  <sheetData>
    <row r="2" customFormat="false" ht="30" hidden="false" customHeight="true" outlineLevel="0" collapsed="false">
      <c r="B2" s="17" t="s">
        <v>260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261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262</v>
      </c>
      <c r="C5" s="24" t="s">
        <v>240</v>
      </c>
      <c r="D5" s="24" t="s">
        <v>241</v>
      </c>
      <c r="E5" s="24" t="s">
        <v>242</v>
      </c>
      <c r="F5" s="24" t="s">
        <v>263</v>
      </c>
    </row>
    <row r="6" customFormat="false" ht="27.75" hidden="false" customHeight="true" outlineLevel="0" collapsed="false">
      <c r="B6" s="25" t="s">
        <v>245</v>
      </c>
      <c r="C6" s="26" t="n">
        <v>5</v>
      </c>
      <c r="D6" s="26" t="n">
        <v>15</v>
      </c>
      <c r="E6" s="26" t="n">
        <v>30</v>
      </c>
      <c r="F6" s="26" t="s">
        <v>264</v>
      </c>
    </row>
    <row r="7" customFormat="false" ht="27.75" hidden="false" customHeight="true" outlineLevel="0" collapsed="false">
      <c r="B7" s="27" t="s">
        <v>247</v>
      </c>
      <c r="C7" s="28" t="n">
        <v>1</v>
      </c>
      <c r="D7" s="28" t="n">
        <v>3</v>
      </c>
      <c r="E7" s="28" t="n">
        <v>8</v>
      </c>
      <c r="F7" s="28" t="s">
        <v>264</v>
      </c>
    </row>
    <row r="8" customFormat="false" ht="27.75" hidden="false" customHeight="true" outlineLevel="0" collapsed="false">
      <c r="B8" s="25" t="s">
        <v>249</v>
      </c>
      <c r="C8" s="26" t="n">
        <v>85</v>
      </c>
      <c r="D8" s="26" t="n">
        <v>60</v>
      </c>
      <c r="E8" s="26" t="n">
        <v>40</v>
      </c>
      <c r="F8" s="26" t="s">
        <v>265</v>
      </c>
    </row>
    <row r="9" customFormat="false" ht="27.75" hidden="false" customHeight="true" outlineLevel="0" collapsed="false">
      <c r="B9" s="27" t="s">
        <v>251</v>
      </c>
      <c r="C9" s="28" t="n">
        <v>95</v>
      </c>
      <c r="D9" s="28" t="n">
        <v>80</v>
      </c>
      <c r="E9" s="28" t="n">
        <v>60</v>
      </c>
      <c r="F9" s="28" t="s">
        <v>264</v>
      </c>
    </row>
    <row r="10" customFormat="false" ht="27.75" hidden="false" customHeight="true" outlineLevel="0" collapsed="false">
      <c r="B10" s="25" t="s">
        <v>253</v>
      </c>
      <c r="C10" s="26" t="n">
        <v>0.5</v>
      </c>
      <c r="D10" s="26" t="n">
        <v>1.5</v>
      </c>
      <c r="E10" s="26" t="n">
        <v>4</v>
      </c>
      <c r="F10" s="26" t="s">
        <v>265</v>
      </c>
    </row>
    <row r="11" customFormat="false" ht="27.75" hidden="false" customHeight="true" outlineLevel="0" collapsed="false">
      <c r="B11" s="27" t="s">
        <v>266</v>
      </c>
      <c r="C11" s="28" t="n">
        <v>15</v>
      </c>
      <c r="D11" s="28" t="n">
        <v>45</v>
      </c>
      <c r="E11" s="28" t="n">
        <v>120</v>
      </c>
      <c r="F11" s="28" t="s">
        <v>265</v>
      </c>
    </row>
    <row r="12" customFormat="false" ht="27.75" hidden="false" customHeight="true" outlineLevel="0" collapsed="false">
      <c r="B12" s="25" t="s">
        <v>255</v>
      </c>
      <c r="C12" s="26" t="n">
        <v>2</v>
      </c>
      <c r="D12" s="26" t="n">
        <v>10</v>
      </c>
      <c r="E12" s="26" t="n">
        <v>25</v>
      </c>
      <c r="F12" s="26" t="s">
        <v>264</v>
      </c>
    </row>
    <row r="13" customFormat="false" ht="27.75" hidden="false" customHeight="true" outlineLevel="0" collapsed="false">
      <c r="B13" s="27" t="s">
        <v>257</v>
      </c>
      <c r="C13" s="28" t="n">
        <v>5</v>
      </c>
      <c r="D13" s="28" t="n">
        <v>15</v>
      </c>
      <c r="E13" s="28" t="n">
        <v>30</v>
      </c>
      <c r="F13" s="28" t="s">
        <v>264</v>
      </c>
    </row>
    <row r="14" customFormat="false" ht="27.75" hidden="false" customHeight="true" outlineLevel="0" collapsed="false">
      <c r="B14" s="25" t="s">
        <v>267</v>
      </c>
      <c r="C14" s="26" t="n">
        <v>1</v>
      </c>
      <c r="D14" s="26" t="n">
        <v>4</v>
      </c>
      <c r="E14" s="26" t="n">
        <v>10</v>
      </c>
      <c r="F14" s="26" t="s">
        <v>265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2"/>
    <col collapsed="false" customWidth="true" hidden="false" outlineLevel="0" max="6" min="6" style="0" width="36"/>
    <col collapsed="false" customWidth="true" hidden="false" outlineLevel="0" max="8" min="7" style="0" width="12"/>
  </cols>
  <sheetData>
    <row r="2" customFormat="false" ht="30" hidden="false" customHeight="true" outlineLevel="0" collapsed="false">
      <c r="B2" s="17" t="s">
        <v>268</v>
      </c>
      <c r="C2" s="17"/>
      <c r="D2" s="17"/>
      <c r="E2" s="17"/>
      <c r="F2" s="17"/>
      <c r="G2" s="17"/>
      <c r="H2" s="17"/>
    </row>
    <row r="3" customFormat="false" ht="15.75" hidden="false" customHeight="true" outlineLevel="0" collapsed="false">
      <c r="B3" s="18" t="s">
        <v>269</v>
      </c>
      <c r="C3" s="18"/>
      <c r="D3" s="18"/>
      <c r="E3" s="18"/>
      <c r="F3" s="18"/>
      <c r="G3" s="18"/>
      <c r="H3" s="18"/>
    </row>
    <row r="5" customFormat="false" ht="25.5" hidden="false" customHeight="true" outlineLevel="0" collapsed="false">
      <c r="B5" s="24" t="s">
        <v>270</v>
      </c>
      <c r="C5" s="24" t="s">
        <v>271</v>
      </c>
      <c r="D5" s="24" t="s">
        <v>272</v>
      </c>
      <c r="E5" s="24" t="s">
        <v>243</v>
      </c>
      <c r="F5" s="24" t="s">
        <v>273</v>
      </c>
      <c r="G5" s="24" t="s">
        <v>274</v>
      </c>
      <c r="H5" s="24" t="s">
        <v>275</v>
      </c>
    </row>
    <row r="6" customFormat="false" ht="27.75" hidden="false" customHeight="true" outlineLevel="0" collapsed="false">
      <c r="B6" s="25"/>
      <c r="C6" s="26"/>
      <c r="D6" s="26"/>
      <c r="E6" s="26"/>
      <c r="F6" s="26" t="str">
        <f aca="false">IF(C6="","",IF(C6&lt;=10,"✓","✗"))</f>
        <v/>
      </c>
      <c r="G6" s="26"/>
      <c r="H6" s="26"/>
    </row>
    <row r="7" customFormat="false" ht="27.75" hidden="false" customHeight="true" outlineLevel="0" collapsed="false">
      <c r="B7" s="27"/>
      <c r="C7" s="28"/>
      <c r="D7" s="28"/>
      <c r="E7" s="28"/>
      <c r="F7" s="28" t="str">
        <f aca="false">IF(C7="","",IF(C7&lt;=10,"✓","✗"))</f>
        <v/>
      </c>
      <c r="G7" s="28"/>
      <c r="H7" s="28"/>
    </row>
    <row r="8" customFormat="false" ht="27.75" hidden="false" customHeight="true" outlineLevel="0" collapsed="false">
      <c r="B8" s="25"/>
      <c r="C8" s="26"/>
      <c r="D8" s="26"/>
      <c r="E8" s="26"/>
      <c r="F8" s="26" t="str">
        <f aca="false">IF(C8="","",IF(C8&lt;=10,"✓","✗"))</f>
        <v/>
      </c>
      <c r="G8" s="26"/>
      <c r="H8" s="26"/>
    </row>
    <row r="9" customFormat="false" ht="27.75" hidden="false" customHeight="true" outlineLevel="0" collapsed="false">
      <c r="B9" s="27"/>
      <c r="C9" s="28"/>
      <c r="D9" s="28"/>
      <c r="E9" s="28"/>
      <c r="F9" s="28" t="str">
        <f aca="false">IF(C9="","",IF(C9&lt;=10,"✓","✗"))</f>
        <v/>
      </c>
      <c r="G9" s="28"/>
      <c r="H9" s="28"/>
    </row>
    <row r="10" customFormat="false" ht="27.75" hidden="false" customHeight="true" outlineLevel="0" collapsed="false">
      <c r="B10" s="25"/>
      <c r="C10" s="26"/>
      <c r="D10" s="26"/>
      <c r="E10" s="26"/>
      <c r="F10" s="26" t="str">
        <f aca="false">IF(C10="","",IF(C10&lt;=10,"✓","✗"))</f>
        <v/>
      </c>
      <c r="G10" s="26"/>
      <c r="H10" s="26"/>
    </row>
    <row r="11" customFormat="false" ht="27.75" hidden="false" customHeight="true" outlineLevel="0" collapsed="false">
      <c r="B11" s="27"/>
      <c r="C11" s="28"/>
      <c r="D11" s="28"/>
      <c r="E11" s="28"/>
      <c r="F11" s="28" t="str">
        <f aca="false">IF(C11="","",IF(C11&lt;=10,"✓","✗"))</f>
        <v/>
      </c>
      <c r="G11" s="28"/>
      <c r="H11" s="28"/>
    </row>
    <row r="12" customFormat="false" ht="27.75" hidden="false" customHeight="true" outlineLevel="0" collapsed="false">
      <c r="B12" s="25"/>
      <c r="C12" s="26"/>
      <c r="D12" s="26"/>
      <c r="E12" s="26"/>
      <c r="F12" s="26" t="str">
        <f aca="false">IF(C12="","",IF(C12&lt;=10,"✓","✗"))</f>
        <v/>
      </c>
      <c r="G12" s="26"/>
      <c r="H12" s="26"/>
    </row>
    <row r="13" customFormat="false" ht="27.75" hidden="false" customHeight="true" outlineLevel="0" collapsed="false">
      <c r="B13" s="27"/>
      <c r="C13" s="28"/>
      <c r="D13" s="28"/>
      <c r="E13" s="28"/>
      <c r="F13" s="28" t="str">
        <f aca="false">IF(C13="","",IF(C13&lt;=10,"✓","✗"))</f>
        <v/>
      </c>
      <c r="G13" s="28"/>
      <c r="H13" s="28"/>
    </row>
    <row r="14" customFormat="false" ht="27.75" hidden="false" customHeight="true" outlineLevel="0" collapsed="false">
      <c r="B14" s="25"/>
      <c r="C14" s="26"/>
      <c r="D14" s="26"/>
      <c r="E14" s="26"/>
      <c r="F14" s="26" t="str">
        <f aca="false">IF(C14="","",IF(C14&lt;=10,"✓","✗"))</f>
        <v/>
      </c>
      <c r="G14" s="26"/>
      <c r="H14" s="26"/>
    </row>
    <row r="15" customFormat="false" ht="27.75" hidden="false" customHeight="true" outlineLevel="0" collapsed="false">
      <c r="B15" s="27"/>
      <c r="C15" s="28"/>
      <c r="D15" s="28"/>
      <c r="E15" s="28"/>
      <c r="F15" s="28" t="str">
        <f aca="false">IF(C15="","",IF(C15&lt;=10,"✓","✗"))</f>
        <v/>
      </c>
      <c r="G15" s="28"/>
      <c r="H15" s="28"/>
    </row>
    <row r="16" customFormat="false" ht="27.75" hidden="false" customHeight="true" outlineLevel="0" collapsed="false">
      <c r="B16" s="25"/>
      <c r="C16" s="26"/>
      <c r="D16" s="26"/>
      <c r="E16" s="26"/>
      <c r="F16" s="26" t="str">
        <f aca="false">IF(C16="","",IF(C16&lt;=10,"✓","✗"))</f>
        <v/>
      </c>
      <c r="G16" s="26"/>
      <c r="H16" s="26"/>
    </row>
    <row r="17" customFormat="false" ht="27.75" hidden="false" customHeight="true" outlineLevel="0" collapsed="false">
      <c r="B17" s="27"/>
      <c r="C17" s="28"/>
      <c r="D17" s="28"/>
      <c r="E17" s="28"/>
      <c r="F17" s="28" t="str">
        <f aca="false">IF(C17="","",IF(C17&lt;=10,"✓","✗"))</f>
        <v/>
      </c>
      <c r="G17" s="28"/>
      <c r="H17" s="28"/>
    </row>
    <row r="18" customFormat="false" ht="27.75" hidden="false" customHeight="true" outlineLevel="0" collapsed="false">
      <c r="B18" s="25"/>
      <c r="C18" s="26"/>
      <c r="D18" s="26"/>
      <c r="E18" s="26"/>
      <c r="F18" s="26" t="str">
        <f aca="false">IF(C18="","",IF(C18&lt;=10,"✓","✗"))</f>
        <v/>
      </c>
      <c r="G18" s="26"/>
      <c r="H18" s="26"/>
    </row>
    <row r="19" customFormat="false" ht="27.75" hidden="false" customHeight="true" outlineLevel="0" collapsed="false">
      <c r="B19" s="27"/>
      <c r="C19" s="28"/>
      <c r="D19" s="28"/>
      <c r="E19" s="28"/>
      <c r="F19" s="28" t="str">
        <f aca="false">IF(C19="","",IF(C19&lt;=10,"✓","✗"))</f>
        <v/>
      </c>
      <c r="G19" s="28"/>
      <c r="H19" s="28"/>
    </row>
    <row r="20" customFormat="false" ht="27.75" hidden="false" customHeight="true" outlineLevel="0" collapsed="false">
      <c r="B20" s="25"/>
      <c r="C20" s="26"/>
      <c r="D20" s="26"/>
      <c r="E20" s="26"/>
      <c r="F20" s="26" t="str">
        <f aca="false">IF(C20="","",IF(C20&lt;=10,"✓","✗"))</f>
        <v/>
      </c>
      <c r="G20" s="26"/>
      <c r="H20" s="26"/>
    </row>
  </sheetData>
  <mergeCells count="2">
    <mergeCell ref="B2:H2"/>
    <mergeCell ref="B3:H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272</v>
      </c>
      <c r="B1" s="0" t="s">
        <v>243</v>
      </c>
      <c r="C1" s="0" t="s">
        <v>276</v>
      </c>
      <c r="D1" s="0" t="s">
        <v>277</v>
      </c>
    </row>
    <row r="2" customFormat="false" ht="15" hidden="false" customHeight="false" outlineLevel="0" collapsed="false">
      <c r="A2" s="0" t="s">
        <v>278</v>
      </c>
      <c r="B2" s="0" t="s">
        <v>279</v>
      </c>
      <c r="C2" s="0" t="s">
        <v>168</v>
      </c>
      <c r="D2" s="0" t="s">
        <v>280</v>
      </c>
    </row>
    <row r="3" customFormat="false" ht="15" hidden="false" customHeight="false" outlineLevel="0" collapsed="false">
      <c r="A3" s="0" t="s">
        <v>281</v>
      </c>
      <c r="B3" s="0" t="s">
        <v>282</v>
      </c>
      <c r="C3" s="0" t="s">
        <v>174</v>
      </c>
      <c r="D3" s="0" t="s">
        <v>283</v>
      </c>
    </row>
    <row r="4" customFormat="false" ht="15" hidden="false" customHeight="false" outlineLevel="0" collapsed="false">
      <c r="A4" s="0" t="s">
        <v>284</v>
      </c>
      <c r="B4" s="0" t="s">
        <v>285</v>
      </c>
      <c r="C4" s="0" t="s">
        <v>178</v>
      </c>
      <c r="D4" s="0" t="s">
        <v>286</v>
      </c>
    </row>
    <row r="5" customFormat="false" ht="15" hidden="false" customHeight="false" outlineLevel="0" collapsed="false">
      <c r="B5" s="0" t="s">
        <v>287</v>
      </c>
      <c r="C5" s="0" t="s">
        <v>182</v>
      </c>
      <c r="D5" s="0" t="s">
        <v>288</v>
      </c>
    </row>
    <row r="6" customFormat="false" ht="15" hidden="false" customHeight="false" outlineLevel="0" collapsed="false">
      <c r="B6" s="0" t="s">
        <v>289</v>
      </c>
      <c r="C6" s="0" t="s">
        <v>188</v>
      </c>
      <c r="D6" s="0" t="s">
        <v>290</v>
      </c>
    </row>
    <row r="7" customFormat="false" ht="15" hidden="false" customHeight="false" outlineLevel="0" collapsed="false">
      <c r="C7" s="0" t="s">
        <v>193</v>
      </c>
    </row>
    <row r="8" customFormat="false" ht="15" hidden="false" customHeight="false" outlineLevel="0" collapsed="false">
      <c r="C8" s="0" t="s">
        <v>198</v>
      </c>
    </row>
    <row r="9" customFormat="false" ht="15" hidden="false" customHeight="false" outlineLevel="0" collapsed="false">
      <c r="C9" s="0" t="s">
        <v>204</v>
      </c>
    </row>
    <row r="10" customFormat="false" ht="15" hidden="false" customHeight="false" outlineLevel="0" collapsed="false">
      <c r="C10" s="0" t="s">
        <v>208</v>
      </c>
    </row>
    <row r="11" customFormat="false" ht="15" hidden="false" customHeight="false" outlineLevel="0" collapsed="false">
      <c r="C11" s="0" t="s">
        <v>213</v>
      </c>
    </row>
    <row r="12" customFormat="false" ht="15" hidden="false" customHeight="false" outlineLevel="0" collapsed="false">
      <c r="C12" s="0" t="s">
        <v>217</v>
      </c>
    </row>
    <row r="13" customFormat="false" ht="15" hidden="false" customHeight="false" outlineLevel="0" collapsed="false">
      <c r="C13" s="0" t="s">
        <v>221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2026-05-26T06:45:02Z</dcterms:created>
  <dc:creator>openpyxl</dc:creator>
  <dc:description/>
  <dc:language>en-US</dc:language>
  <cp:lastModifiedBy/>
  <dcterms:modified xsi:type="dcterms:W3CDTF">2026-05-26T06:45:02Z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