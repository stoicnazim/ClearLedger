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zim\Downloads\"/>
    </mc:Choice>
  </mc:AlternateContent>
  <xr:revisionPtr revIDLastSave="0" documentId="13_ncr:1_{F4C7593C-FA98-455E-BBFB-A30091A4F036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Cover" sheetId="1" r:id="rId1"/>
    <sheet name="Instructions" sheetId="2" r:id="rId2"/>
    <sheet name="SIPOC" sheetId="3" r:id="rId3"/>
    <sheet name="RACI Matrix" sheetId="4" r:id="rId4"/>
    <sheet name="SOP — Auto-Match" sheetId="5" r:id="rId5"/>
    <sheet name="SOP — Exception Handling" sheetId="6" r:id="rId6"/>
    <sheet name="KPI Scorecard" sheetId="7" r:id="rId7"/>
    <sheet name="Data Quality Tracker" sheetId="8" r:id="rId8"/>
    <sheet name="System Config" sheetId="9" r:id="rId9"/>
    <sheet name="Benchmarks" sheetId="10" r:id="rId10"/>
    <sheet name="Lists" sheetId="11" state="hidden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8" l="1"/>
  <c r="F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H16" i="7"/>
  <c r="H15" i="7"/>
  <c r="H14" i="7"/>
  <c r="H13" i="7"/>
  <c r="H12" i="7"/>
  <c r="H11" i="7"/>
  <c r="H10" i="7"/>
  <c r="H9" i="7"/>
  <c r="H8" i="7"/>
  <c r="H7" i="7"/>
  <c r="H6" i="7"/>
</calcChain>
</file>

<file path=xl/sharedStrings.xml><?xml version="1.0" encoding="utf-8"?>
<sst xmlns="http://schemas.openxmlformats.org/spreadsheetml/2006/main" count="446" uniqueCount="299">
  <si>
    <t>ClearLedger Advisory</t>
  </si>
  <si>
    <t>Cash Application</t>
  </si>
  <si>
    <t>Process Pack</t>
  </si>
  <si>
    <t>TOOLKIT 2.0  ·  PROCESS OPTIMIZATION SERIES</t>
  </si>
  <si>
    <t>APQC PCF v8.0 aligned  ·  Templates · Frameworks · Benchmarks</t>
  </si>
  <si>
    <t xml:space="preserve">  DOCUMENT INFORMATION</t>
  </si>
  <si>
    <t>Prepared for</t>
  </si>
  <si>
    <t>[Client Name]</t>
  </si>
  <si>
    <t>Prepared by</t>
  </si>
  <si>
    <t>[Consultant Name]</t>
  </si>
  <si>
    <t>Engagement date</t>
  </si>
  <si>
    <t>[Date]</t>
  </si>
  <si>
    <t>Version</t>
  </si>
  <si>
    <t>1.0</t>
  </si>
  <si>
    <t>License</t>
  </si>
  <si>
    <t>Single-entity commercial license</t>
  </si>
  <si>
    <t xml:space="preserve">  WHAT'S INSIDE</t>
  </si>
  <si>
    <t>End-to-end cash application framework: auto-matching, exception handling, remittance processing, and bank reconciliation. Includes SIPOC, RACI, two SOPs, KPI scorecard, data-quality tracker, and system configuration guidance.</t>
  </si>
  <si>
    <t xml:space="preserve">  CONTENTS</t>
  </si>
  <si>
    <t>01</t>
  </si>
  <si>
    <t>SIPOC</t>
  </si>
  <si>
    <t>Suppliers → Inputs → Process → Outputs → Customers</t>
  </si>
  <si>
    <t>02</t>
  </si>
  <si>
    <t>RACI Matrix</t>
  </si>
  <si>
    <t>Activities with role assignments</t>
  </si>
  <si>
    <t>03</t>
  </si>
  <si>
    <t>SOP — Auto-Match</t>
  </si>
  <si>
    <t>04</t>
  </si>
  <si>
    <t>SOP — Exception Handling</t>
  </si>
  <si>
    <t>05</t>
  </si>
  <si>
    <t>KPI Scorecard</t>
  </si>
  <si>
    <t>KPIs · APQC v8.0 benchmarks · RAG status</t>
  </si>
  <si>
    <t>06</t>
  </si>
  <si>
    <t>Data Quality Tracker</t>
  </si>
  <si>
    <t>07</t>
  </si>
  <si>
    <t>System Config</t>
  </si>
  <si>
    <t>08</t>
  </si>
  <si>
    <t>Benchmarks</t>
  </si>
  <si>
    <t>APQC / Hackett reference data</t>
  </si>
  <si>
    <t>APQC PCF v8.0: 8.3.3.1 Process Receivables</t>
  </si>
  <si>
    <t>How to Use This Pack</t>
  </si>
  <si>
    <t>Follow these steps from diagnostic to deployment</t>
  </si>
  <si>
    <t>Step 1</t>
  </si>
  <si>
    <t>Review SIPOC</t>
  </si>
  <si>
    <t>Understand the end-to-end cash application process scope and key stakeholders.</t>
  </si>
  <si>
    <t>Step 2</t>
  </si>
  <si>
    <t>Assign RACI</t>
  </si>
  <si>
    <t>Use the RACI matrix to clarify roles. Edit the matrix to match your team structure.</t>
  </si>
  <si>
    <t>Step 3</t>
  </si>
  <si>
    <t>Configure SOPs</t>
  </si>
  <si>
    <t>Customise the Auto-Match and Exception Handling SOPs to your ERP and rules.</t>
  </si>
  <si>
    <t>Step 4</t>
  </si>
  <si>
    <t>Set Targets</t>
  </si>
  <si>
    <t>Enter your current KPI values and targets in the KPI Scorecard (blue input cells).</t>
  </si>
  <si>
    <t>Step 5</t>
  </si>
  <si>
    <t>Track Data Quality</t>
  </si>
  <si>
    <t>Use the Data Quality Tracker to monitor remittance completeness weekly.</t>
  </si>
  <si>
    <t>Step 6</t>
  </si>
  <si>
    <t>Review Benchmarks</t>
  </si>
  <si>
    <t>Compare your performance against APQC PCF v8.0 quartile benchmarks.</t>
  </si>
  <si>
    <t xml:space="preserve">  ▸ Blue cells are inputs you edit. Black values are formula-driven — do not overtype them.</t>
  </si>
  <si>
    <t>SIPOC — Cash Application Process</t>
  </si>
  <si>
    <t>APQC PCF v8.0: 8.3.3.1 · Remittance &amp; Cash Application</t>
  </si>
  <si>
    <t>Suppliers</t>
  </si>
  <si>
    <t>Inputs</t>
  </si>
  <si>
    <t>Process Steps</t>
  </si>
  <si>
    <t>Outputs</t>
  </si>
  <si>
    <t>Customers</t>
  </si>
  <si>
    <t>APQC Ref</t>
  </si>
  <si>
    <t>Banks</t>
  </si>
  <si>
    <t>BAI2 / MT940 bank statements</t>
  </si>
  <si>
    <t>1. Receive remittance data</t>
  </si>
  <si>
    <t>Structured remittance file</t>
  </si>
  <si>
    <t>Cash App System</t>
  </si>
  <si>
    <t>8.3.3.1.1</t>
  </si>
  <si>
    <t>Payment notifications (email/portal)</t>
  </si>
  <si>
    <t>2. Extract remittance details</t>
  </si>
  <si>
    <t>Normalized remittance data</t>
  </si>
  <si>
    <t>AR Database</t>
  </si>
  <si>
    <t>8.3.3.1.2</t>
  </si>
  <si>
    <t>ERP</t>
  </si>
  <si>
    <t>Open invoice data</t>
  </si>
  <si>
    <t>3. Match payments to invoices</t>
  </si>
  <si>
    <t>Matched transactions</t>
  </si>
  <si>
    <t>General Ledger</t>
  </si>
  <si>
    <t>8.3.3.1.3</t>
  </si>
  <si>
    <t>EDI Network</t>
  </si>
  <si>
    <t>EDI 820 payment orders</t>
  </si>
  <si>
    <t>4. Apply cash to AR</t>
  </si>
  <si>
    <t>Updated AR sub-ledger</t>
  </si>
  <si>
    <t>Collections Team</t>
  </si>
  <si>
    <t>8.3.3.1.4</t>
  </si>
  <si>
    <t>Payment Gateways</t>
  </si>
  <si>
    <t>Card / ACH / wire confirmations</t>
  </si>
  <si>
    <t>5. Flag exceptions</t>
  </si>
  <si>
    <t>Exception work queue</t>
  </si>
  <si>
    <t>AR Analysts</t>
  </si>
  <si>
    <t>8.3.3.1.5</t>
  </si>
  <si>
    <t>AR System</t>
  </si>
  <si>
    <t>Auto-match rules engine</t>
  </si>
  <si>
    <t>6. Route unallocated cash</t>
  </si>
  <si>
    <t>Unallocated cash report</t>
  </si>
  <si>
    <t>Treasury</t>
  </si>
  <si>
    <t>8.3.3.1.6</t>
  </si>
  <si>
    <t>Credit Team</t>
  </si>
  <si>
    <t>Customer remittance patterns</t>
  </si>
  <si>
    <t>7. Reconcile &amp; report</t>
  </si>
  <si>
    <t>Daily reconciliation report</t>
  </si>
  <si>
    <t>Finance Leadership</t>
  </si>
  <si>
    <t>8.3.3.1.7</t>
  </si>
  <si>
    <t>RACI Matrix — Cash Application</t>
  </si>
  <si>
    <t>R = Responsible · A = Accountable · C = Consulted · I = Informed</t>
  </si>
  <si>
    <t>Activity</t>
  </si>
  <si>
    <t>AR Analyst</t>
  </si>
  <si>
    <t>Cash App Lead</t>
  </si>
  <si>
    <t>AR Manager</t>
  </si>
  <si>
    <t>IT</t>
  </si>
  <si>
    <t>Credit</t>
  </si>
  <si>
    <t>BAI2/MT940 file import</t>
  </si>
  <si>
    <t>R</t>
  </si>
  <si>
    <t>A</t>
  </si>
  <si>
    <t>I</t>
  </si>
  <si>
    <t>C</t>
  </si>
  <si>
    <t>Remittance extraction (auto)</t>
  </si>
  <si>
    <t>Auto-match rule execution</t>
  </si>
  <si>
    <t>Matched payment review</t>
  </si>
  <si>
    <t>Exception identification</t>
  </si>
  <si>
    <t>Manual match research</t>
  </si>
  <si>
    <t>Short payment investigation</t>
  </si>
  <si>
    <t>Unallocated cash aging review</t>
  </si>
  <si>
    <t>Customer remittance follow-up</t>
  </si>
  <si>
    <t>Match rule maintenance</t>
  </si>
  <si>
    <t>SLA performance reporting</t>
  </si>
  <si>
    <t>Month-end reconciliation</t>
  </si>
  <si>
    <t>System integration monitoring</t>
  </si>
  <si>
    <t>User access management</t>
  </si>
  <si>
    <t>Continuous improvement</t>
  </si>
  <si>
    <t>SOP — Automated Matching</t>
  </si>
  <si>
    <t>Automated payment-to-invoice matching with AI and rule-based engines</t>
  </si>
  <si>
    <t>Step</t>
  </si>
  <si>
    <t>Who</t>
  </si>
  <si>
    <t>Task</t>
  </si>
  <si>
    <t>Procedure</t>
  </si>
  <si>
    <t>Frequency</t>
  </si>
  <si>
    <t>System (Auto)</t>
  </si>
  <si>
    <t>Import bank statements</t>
  </si>
  <si>
    <t>BAI2/MT940 file automatically imported from bank via SFTP. System validates file integrity (hash, row count). Failed imports trigger alert.</t>
  </si>
  <si>
    <t>Daily</t>
  </si>
  <si>
    <t>System (AI)</t>
  </si>
  <si>
    <t>Extract remittance data</t>
  </si>
  <si>
    <t>AI engine parses PDF, email, EDI 820, and portal remittance data. Details normalized to standard fields: Customer ID, Invoice No, Amount, Date, Reference.</t>
  </si>
  <si>
    <t>System (Rules)</t>
  </si>
  <si>
    <t>Execute match rules</t>
  </si>
  <si>
    <t>Rule engine applies configured matching rules in priority order: 1) Exact invoice match, 2) Customer ref match, 3) Partial amount match, 4) AI confidence match (&gt;95%).</t>
  </si>
  <si>
    <t>System</t>
  </si>
  <si>
    <t>Auto-apply cash</t>
  </si>
  <si>
    <t>Matched items auto-applied to open AR. Target: &gt;85% STP. Journal entries posted to GL. Confirmation sent to Collections.</t>
  </si>
  <si>
    <t>Flag exceptions</t>
  </si>
  <si>
    <t>Payments below confidence threshold (&lt;95%) or zero matches routed to exception queue. Categories: Mismatch, Short Pay, No Ref, Overpayment, Unknown.</t>
  </si>
  <si>
    <t>Generate reports</t>
  </si>
  <si>
    <t>Auto-match rate report, exception aging, and daily reconciliation generated. KPI dashboard updated real-time.</t>
  </si>
  <si>
    <t>Manual research and resolution of unmatched and unallocated payments</t>
  </si>
  <si>
    <t>SLA</t>
  </si>
  <si>
    <t>Create exception record</t>
  </si>
  <si>
    <t>Every unmatched or low-confidence payment auto-creates an exception ticket with: Payment ID, Amount, Date, Customer, Confidence Score, Reason Code.</t>
  </si>
  <si>
    <t>Auto</t>
  </si>
  <si>
    <t>Review exception queue</t>
  </si>
  <si>
    <t>AR analyst reviews queue daily. Prioritise by: amount (high first), age (&gt;24hr), customer tier (A/B/C). Target: &lt;2hr to first touch.</t>
  </si>
  <si>
    <t>&lt;2 hr</t>
  </si>
  <si>
    <t>Research remittance</t>
  </si>
  <si>
    <t>Check customer portal, email history, bank memo line, previous patterns. Use AI remittance viewer for PDF/email extraction.</t>
  </si>
  <si>
    <t>&lt;4 hr</t>
  </si>
  <si>
    <t>Resolve match</t>
  </si>
  <si>
    <t>Apply one of: a) Manual match to correct invoice, b) Split across invoices, c) Create on-account credit, d) Raise dispute if contested.</t>
  </si>
  <si>
    <t>Approve resolution</t>
  </si>
  <si>
    <t>Matches &gt;€10K or involving credit require Lead approval. System enforces authority matrix. Approval logged with timestamp.</t>
  </si>
  <si>
    <t>&lt;24 hr</t>
  </si>
  <si>
    <t>Update exception log</t>
  </si>
  <si>
    <t>Resolution recorded with: root cause code, resolution type, time to resolve. Weekly exception analysis for AR Manager.</t>
  </si>
  <si>
    <t>KPI Scorecard — Cash Application</t>
  </si>
  <si>
    <t>Enter your actuals in blue cells. APQC PCF v8.0 benchmarks for reference.</t>
  </si>
  <si>
    <t>KPI</t>
  </si>
  <si>
    <t>Current</t>
  </si>
  <si>
    <t>Target</t>
  </si>
  <si>
    <t>Top</t>
  </si>
  <si>
    <t>Median</t>
  </si>
  <si>
    <t>Bottom</t>
  </si>
  <si>
    <t>Status</t>
  </si>
  <si>
    <t>APQC</t>
  </si>
  <si>
    <t>Definition</t>
  </si>
  <si>
    <t>Auto-Match Rate (%)</t>
  </si>
  <si>
    <t>Percentage of payments automatically matched to invoices without manual intervention.</t>
  </si>
  <si>
    <t>Match Accuracy Rate (%)</t>
  </si>
  <si>
    <t>Percentage of auto-matched transactions confirmed correct after review.</t>
  </si>
  <si>
    <t>Time to Match (hours)</t>
  </si>
  <si>
    <t>Average elapsed time from payment receipt to invoice application.</t>
  </si>
  <si>
    <t>Exception Rate (%)</t>
  </si>
  <si>
    <t>Percentage of total payments routed to exception queue for manual resolution.</t>
  </si>
  <si>
    <t>Cost per Payment — Auto (€)</t>
  </si>
  <si>
    <t>Fully loaded cost to process one auto-matched payment.</t>
  </si>
  <si>
    <t>Cost per Payment — Manual (€)</t>
  </si>
  <si>
    <t>Fully loaded cost to process one manually matched payment.</t>
  </si>
  <si>
    <t>Exception Resolution (hours)</t>
  </si>
  <si>
    <t>Average time from exception creation to final resolution.</t>
  </si>
  <si>
    <t>Unallocated Cash Rate (%)</t>
  </si>
  <si>
    <t>Percentage of received cash not allocated to an invoice after 48 hours.</t>
  </si>
  <si>
    <t>STP Rate (%)</t>
  </si>
  <si>
    <t>Straight-through processing rate — payments applied without any human touch.</t>
  </si>
  <si>
    <t>AR FTE per 10K Payments</t>
  </si>
  <si>
    <t>8.3.3.1</t>
  </si>
  <si>
    <t>Full-time equivalent headcount required to process 10,000 payments.</t>
  </si>
  <si>
    <t>Month-End Close (days)</t>
  </si>
  <si>
    <t>Days required to complete AR sub-ledger close at month-end.</t>
  </si>
  <si>
    <t>RAG status compares Current vs Target (direction-aware). Edit blue cells to update.</t>
  </si>
  <si>
    <t>Score each remittance source weekly. Target: &gt;90% completeness. Formulas auto-calculate.</t>
  </si>
  <si>
    <t>Week</t>
  </si>
  <si>
    <t>Remittance Source</t>
  </si>
  <si>
    <t>Volume</t>
  </si>
  <si>
    <t>Completeness %</t>
  </si>
  <si>
    <t>Target Met?</t>
  </si>
  <si>
    <t>Notes</t>
  </si>
  <si>
    <t>W1</t>
  </si>
  <si>
    <t>BAI2 / MT940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</si>
  <si>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</si>
  <si>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</si>
  <si>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</si>
  <si>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</si>
  <si>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</si>
  <si>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</si>
  <si>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</si>
  <si>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</si>
  <si>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</si>
  <si>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</si>
  <si>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</si>
  <si>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</si>
  <si>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Average Completeness</t>
  </si>
  <si>
    <t>Weeks Above 90%</t>
  </si>
  <si>
    <t>Auto-Match Rule Configuration</t>
  </si>
  <si>
    <t>Configure match rules by priority. Rules evaluated top-down until match found.</t>
  </si>
  <si>
    <t>Priority</t>
  </si>
  <si>
    <t>Rule Name</t>
  </si>
  <si>
    <t>Match Field</t>
  </si>
  <si>
    <t>Tolerance</t>
  </si>
  <si>
    <t>Condition</t>
  </si>
  <si>
    <t>Active</t>
  </si>
  <si>
    <t>Exact Invoice Match</t>
  </si>
  <si>
    <t>Invoice Number + Amount</t>
  </si>
  <si>
    <t>€0</t>
  </si>
  <si>
    <t>100% match on both fields</t>
  </si>
  <si>
    <t>✓</t>
  </si>
  <si>
    <t>Customer Reference Match</t>
  </si>
  <si>
    <t>PO Number / Order Ref</t>
  </si>
  <si>
    <t>Customer ref matches PO on invoice</t>
  </si>
  <si>
    <t>Partial Amount Match</t>
  </si>
  <si>
    <t>Customer ID + Amount</t>
  </si>
  <si>
    <t>±10%</t>
  </si>
  <si>
    <t>Amount within 90-110%</t>
  </si>
  <si>
    <t>AI Confidence Match</t>
  </si>
  <si>
    <t>Multiple fields (ML)</t>
  </si>
  <si>
    <t>&gt;95%</t>
  </si>
  <si>
    <t>AI confidence score threshold</t>
  </si>
  <si>
    <t>Customer ID + Date</t>
  </si>
  <si>
    <t>Customer ID + Payment Date</t>
  </si>
  <si>
    <t>±1 day</t>
  </si>
  <si>
    <t>Date within 1 day of due date</t>
  </si>
  <si>
    <t>Optional</t>
  </si>
  <si>
    <t>Ref Number (Wildcard)</t>
  </si>
  <si>
    <t>Remittance Ref (mask)</t>
  </si>
  <si>
    <t>Wildcard match on reference number</t>
  </si>
  <si>
    <t>APQC / Hackett Benchmarks</t>
  </si>
  <si>
    <t>APQC PCF v8.0 and Hackett Group 2026 benchmarks</t>
  </si>
  <si>
    <t>Metric</t>
  </si>
  <si>
    <t>Top Quartile</t>
  </si>
  <si>
    <t>Bottom Quartile</t>
  </si>
  <si>
    <t>Source</t>
  </si>
  <si>
    <t>APQC PCF v8.0</t>
  </si>
  <si>
    <t>Hackett Group 2026</t>
  </si>
  <si>
    <t>Match Status</t>
  </si>
  <si>
    <t>Exception Type</t>
  </si>
  <si>
    <t>Resolution Code</t>
  </si>
  <si>
    <t>SLA Status</t>
  </si>
  <si>
    <t>Auto-Matched</t>
  </si>
  <si>
    <t>Mismatch</t>
  </si>
  <si>
    <t>Applied to Invoice</t>
  </si>
  <si>
    <t>Within SLA</t>
  </si>
  <si>
    <t>Manual Match</t>
  </si>
  <si>
    <t>Short Pay</t>
  </si>
  <si>
    <t>Split Payment</t>
  </si>
  <si>
    <t>At Risk</t>
  </si>
  <si>
    <t>Exception</t>
  </si>
  <si>
    <t>No Reference</t>
  </si>
  <si>
    <t>On-Account Credit</t>
  </si>
  <si>
    <t>Breached</t>
  </si>
  <si>
    <t>Unallocated</t>
  </si>
  <si>
    <t>Overpayment</t>
  </si>
  <si>
    <t>Raised Dispute</t>
  </si>
  <si>
    <t>On-Account</t>
  </si>
  <si>
    <t>Unknown</t>
  </si>
  <si>
    <t>Write-Off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</si>
</sst>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6" x14ac:knownFonts="1">
    <font>
      <sz val="11"/>
      <color theme="1"/>
      <name val="Calibri"/>
      <family val="2"/>
      <charset val="1"/>
    </font>
    <font>
      <b/>
      <sz val="12"/>
      <color rgb="FFC9A227"/>
      <name val="Arial"/>
      <charset val="1"/>
    </font>
    <font>
      <b/>
      <sz val="32"/>
      <color rgb="FFFFFFFF"/>
      <name val="Arial"/>
      <charset val="1"/>
    </font>
    <font>
      <b/>
      <sz val="32"/>
      <color rgb="FFE8D589"/>
      <name val="Arial"/>
      <charset val="1"/>
    </font>
    <font>
      <b/>
      <sz val="10"/>
      <color rgb="FFC9A227"/>
      <name val="Arial"/>
      <charset val="1"/>
    </font>
    <font>
      <sz val="10"/>
      <color rgb="FF8B949E"/>
      <name val="Arial"/>
      <charset val="1"/>
    </font>
    <font>
      <b/>
      <sz val="9"/>
      <color rgb="FFC9A227"/>
      <name val="Arial"/>
      <charset val="1"/>
    </font>
    <font>
      <b/>
      <sz val="10"/>
      <color rgb="FFFFFFFF"/>
      <name val="Arial"/>
      <charset val="1"/>
    </font>
    <font>
      <sz val="10"/>
      <color rgb="FF1D4ED8"/>
      <name val="Arial"/>
      <charset val="1"/>
    </font>
    <font>
      <sz val="10"/>
      <color rgb="FFE6EDF3"/>
      <name val="Arial"/>
      <charset val="1"/>
    </font>
    <font>
      <sz val="10"/>
      <color rgb="FFC9D1D9"/>
      <name val="Arial"/>
      <charset val="1"/>
    </font>
    <font>
      <sz val="9"/>
      <color rgb="FF8B949E"/>
      <name val="Arial"/>
      <charset val="1"/>
    </font>
    <font>
      <sz val="8"/>
      <color rgb="FF6E7681"/>
      <name val="Arial"/>
      <charset val="1"/>
    </font>
    <font>
      <b/>
      <sz val="15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1E293B"/>
      <name val="Arial"/>
      <charset val="1"/>
    </font>
    <font>
      <sz val="9"/>
      <color rgb="FF64748B"/>
      <name val="Arial"/>
      <charset val="1"/>
    </font>
    <font>
      <b/>
      <sz val="9"/>
      <color rgb="FF1D4ED8"/>
      <name val="Arial"/>
      <charset val="1"/>
    </font>
    <font>
      <b/>
      <sz val="9"/>
      <color rgb="FFFFFFFF"/>
      <name val="Arial"/>
      <charset val="1"/>
    </font>
    <font>
      <b/>
      <sz val="9"/>
      <color rgb="FF1E293B"/>
      <name val="Arial"/>
      <charset val="1"/>
    </font>
    <font>
      <sz val="9"/>
      <color rgb="FF1E293B"/>
      <name val="Arial"/>
      <charset val="1"/>
    </font>
    <font>
      <sz val="10"/>
      <color rgb="FF1E293B"/>
      <name val="Arial"/>
      <charset val="1"/>
    </font>
    <font>
      <sz val="10"/>
      <color rgb="FF2563EB"/>
      <name val="Arial"/>
      <charset val="1"/>
    </font>
    <font>
      <b/>
      <sz val="10"/>
      <color rgb="FF1E293B"/>
      <name val="Arial"/>
      <charset val="1"/>
    </font>
    <font>
      <i/>
      <sz val="9"/>
      <color rgb="FF64748B"/>
      <name val="Arial"/>
      <charset val="1"/>
    </font>
    <font>
      <b/>
      <sz val="10"/>
      <color rgb="FF2563EB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  <fill>
      <patternFill patternType="solid">
        <fgColor rgb="FF047857"/>
        <bgColor rgb="FF0E7490"/>
      </patternFill>
    </fill>
    <fill>
      <patternFill patternType="solid">
        <fgColor rgb="FFB91C1C"/>
        <bgColor rgb="FF993366"/>
      </patternFill>
    </fill>
    <fill>
      <patternFill patternType="solid">
        <fgColor rgb="FF64748B"/>
        <bgColor rgb="FF6E7681"/>
      </patternFill>
    </fill>
    <fill>
      <patternFill patternType="solid">
        <fgColor rgb="FFB45309"/>
        <bgColor rgb="FF993366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0" fillId="8" borderId="1" xfId="0" applyFill="1" applyBorder="1" applyAlignment="1"/>
    <xf numFmtId="0" fontId="16" fillId="0" borderId="1" xfId="0" applyFont="1" applyBorder="1" applyAlignment="1">
      <alignment horizontal="left" vertical="top" wrapText="1"/>
    </xf>
    <xf numFmtId="0" fontId="18" fillId="10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19" fillId="7" borderId="1" xfId="0" applyFont="1" applyFill="1" applyBorder="1" applyAlignment="1">
      <alignment horizontal="left" vertical="top" wrapText="1"/>
    </xf>
    <xf numFmtId="0" fontId="20" fillId="7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3" fontId="21" fillId="0" borderId="4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vertical="top" wrapText="1"/>
    </xf>
    <xf numFmtId="0" fontId="21" fillId="0" borderId="4" xfId="0" applyFont="1" applyBorder="1"/>
    <xf numFmtId="0" fontId="21" fillId="0" borderId="4" xfId="0" applyFont="1" applyBorder="1" applyAlignment="1"/>
    <xf numFmtId="3" fontId="0" fillId="0" borderId="0" xfId="0" applyNumberFormat="1"/>
    <xf numFmtId="0" fontId="24" fillId="0" borderId="0" xfId="0" applyFont="1"/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165" fontId="22" fillId="0" borderId="1" xfId="0" applyNumberFormat="1" applyFont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  <xf numFmtId="0" fontId="22" fillId="7" borderId="1" xfId="0" applyFont="1" applyFill="1" applyBorder="1" applyAlignment="1">
      <alignment horizontal="left" vertical="top" wrapText="1"/>
    </xf>
    <xf numFmtId="165" fontId="22" fillId="7" borderId="1" xfId="0" applyNumberFormat="1" applyFont="1" applyFill="1" applyBorder="1" applyAlignment="1">
      <alignment horizontal="left" vertical="top" wrapText="1"/>
    </xf>
    <xf numFmtId="0" fontId="23" fillId="7" borderId="1" xfId="0" applyFont="1" applyFill="1" applyBorder="1" applyAlignment="1">
      <alignment horizontal="left" vertical="top" wrapText="1"/>
    </xf>
    <xf numFmtId="165" fontId="21" fillId="7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left" vertical="top" wrapText="1"/>
    </xf>
    <xf numFmtId="3" fontId="21" fillId="0" borderId="4" xfId="0" applyNumberFormat="1" applyFont="1" applyBorder="1" applyAlignment="1">
      <alignment horizontal="center"/>
    </xf>
    <xf numFmtId="164" fontId="21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64" fontId="25" fillId="9" borderId="4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 vertical="center"/>
    </xf>
    <xf numFmtId="0" fontId="0" fillId="3" borderId="0" xfId="0" applyFill="1" applyBorder="1" applyAlignment="1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left" vertical="center"/>
    </xf>
    <xf numFmtId="0" fontId="14" fillId="5" borderId="0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b/>
        <sz val="9"/>
        <color rgb="FFB91C1C"/>
        <name val="Arial"/>
        <charset val="1"/>
      </font>
      <fill>
        <patternFill>
          <bgColor rgb="FFFEE2E2"/>
        </patternFill>
      </fill>
    </dxf>
    <dxf>
      <font>
        <b/>
        <sz val="9"/>
        <color rgb="FFB45309"/>
        <name val="Arial"/>
        <charset val="1"/>
      </font>
      <fill>
        <patternFill>
          <bgColor rgb="FFFEF3C7"/>
        </patternFill>
      </fill>
    </dxf>
    <dxf>
      <font>
        <b/>
        <sz val="9"/>
        <color rgb="FF047857"/>
        <name val="Arial"/>
        <charset val="1"/>
      </font>
      <fill>
        <patternFill>
          <bgColor rgb="FFD1FAE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D1FAE5"/>
      <rgbColor rgb="FFFEE2E2"/>
      <rgbColor rgb="FFF1F5F9"/>
      <rgbColor rgb="FFFF99CC"/>
      <rgbColor rgb="FFCC99FF"/>
      <rgbColor rgb="FFE8D589"/>
      <rgbColor rgb="FF2563EB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B91C1C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  <pageSetUpPr fitToPage="1"/>
  </sheetPr>
  <dimension ref="A1:L51"/>
  <sheetViews>
    <sheetView showGridLines="0" zoomScaleNormal="100" workbookViewId="0"/>
  </sheetViews>
  <sheetFormatPr defaultColWidth="8.6640625" defaultRowHeight="14.4" x14ac:dyDescent="0.3"/>
  <cols>
    <col min="1" max="1" width="3" style="1" customWidth="1"/>
    <col min="2" max="2" width="16" style="1" customWidth="1"/>
    <col min="3" max="3" width="24" style="1" customWidth="1"/>
    <col min="4" max="4" width="46" style="1" customWidth="1"/>
    <col min="5" max="9" width="12" style="1" customWidth="1"/>
    <col min="10" max="10" width="6" style="1" customWidth="1"/>
  </cols>
  <sheetData>
    <row r="1" spans="1:12" ht="13.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.75" customHeight="1" x14ac:dyDescent="0.3">
      <c r="A2" s="2"/>
      <c r="B2" s="51"/>
      <c r="C2" s="51"/>
      <c r="D2" s="51"/>
      <c r="E2" s="51"/>
      <c r="F2" s="51"/>
      <c r="G2" s="51"/>
      <c r="H2" s="51"/>
      <c r="I2" s="51"/>
      <c r="J2" s="51"/>
      <c r="K2" s="2"/>
      <c r="L2" s="2"/>
    </row>
    <row r="3" spans="1:12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 x14ac:dyDescent="0.3">
      <c r="A4" s="2"/>
      <c r="B4" s="52" t="s">
        <v>0</v>
      </c>
      <c r="C4" s="52"/>
      <c r="D4" s="52"/>
      <c r="E4" s="52"/>
      <c r="F4" s="52"/>
      <c r="G4" s="52"/>
      <c r="H4" s="52"/>
      <c r="I4" s="52"/>
      <c r="J4" s="52"/>
      <c r="K4" s="2"/>
      <c r="L4" s="2"/>
    </row>
    <row r="5" spans="1:12" ht="1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42" customHeight="1" x14ac:dyDescent="0.3">
      <c r="A6" s="2"/>
      <c r="B6" s="53" t="s">
        <v>1</v>
      </c>
      <c r="C6" s="53"/>
      <c r="D6" s="53"/>
      <c r="E6" s="53"/>
      <c r="F6" s="53"/>
      <c r="G6" s="53"/>
      <c r="H6" s="53"/>
      <c r="I6" s="53"/>
      <c r="J6" s="53"/>
      <c r="K6" s="2"/>
      <c r="L6" s="2"/>
    </row>
    <row r="7" spans="1:12" ht="42" customHeight="1" x14ac:dyDescent="0.3">
      <c r="A7" s="2"/>
      <c r="B7" s="54" t="s">
        <v>2</v>
      </c>
      <c r="C7" s="54"/>
      <c r="D7" s="54"/>
      <c r="E7" s="54"/>
      <c r="F7" s="54"/>
      <c r="G7" s="54"/>
      <c r="H7" s="54"/>
      <c r="I7" s="54"/>
      <c r="J7" s="54"/>
      <c r="K7" s="2"/>
      <c r="L7" s="2"/>
    </row>
    <row r="8" spans="1:12" ht="1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 customHeight="1" x14ac:dyDescent="0.3">
      <c r="A9" s="2"/>
      <c r="B9" s="55" t="s">
        <v>3</v>
      </c>
      <c r="C9" s="55"/>
      <c r="D9" s="55"/>
      <c r="E9" s="55"/>
      <c r="F9" s="55"/>
      <c r="G9" s="55"/>
      <c r="H9" s="55"/>
      <c r="I9" s="55"/>
      <c r="J9" s="55"/>
      <c r="K9" s="2"/>
      <c r="L9" s="2"/>
    </row>
    <row r="10" spans="1:12" ht="15" customHeight="1" x14ac:dyDescent="0.3">
      <c r="A10" s="2"/>
      <c r="B10" s="49" t="s">
        <v>4</v>
      </c>
      <c r="C10" s="49"/>
      <c r="D10" s="49"/>
      <c r="E10" s="49"/>
      <c r="F10" s="49"/>
      <c r="G10" s="49"/>
      <c r="H10" s="49"/>
      <c r="I10" s="49"/>
      <c r="J10" s="49"/>
      <c r="K10" s="2"/>
      <c r="L10" s="2"/>
    </row>
    <row r="11" spans="1:12" ht="1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21.75" customHeight="1" x14ac:dyDescent="0.3">
      <c r="A12" s="2"/>
      <c r="B12" s="47" t="s">
        <v>5</v>
      </c>
      <c r="C12" s="47"/>
      <c r="D12" s="47"/>
      <c r="E12" s="47"/>
      <c r="F12" s="47"/>
      <c r="G12" s="47"/>
      <c r="H12" s="47"/>
      <c r="I12" s="47"/>
      <c r="J12" s="47"/>
      <c r="K12" s="2"/>
      <c r="L12" s="2"/>
    </row>
    <row r="13" spans="1:12" ht="19.5" customHeight="1" x14ac:dyDescent="0.3">
      <c r="A13" s="2"/>
      <c r="B13" s="3" t="s">
        <v>6</v>
      </c>
      <c r="C13" s="50" t="s">
        <v>7</v>
      </c>
      <c r="D13" s="50"/>
      <c r="E13" s="50"/>
      <c r="F13" s="50"/>
      <c r="G13" s="50"/>
      <c r="H13" s="50"/>
      <c r="I13" s="50"/>
      <c r="J13" s="50"/>
      <c r="K13" s="2"/>
      <c r="L13" s="2"/>
    </row>
    <row r="14" spans="1:12" ht="19.5" customHeight="1" x14ac:dyDescent="0.3">
      <c r="A14" s="2"/>
      <c r="B14" s="3" t="s">
        <v>8</v>
      </c>
      <c r="C14" s="50" t="s">
        <v>9</v>
      </c>
      <c r="D14" s="50"/>
      <c r="E14" s="50"/>
      <c r="F14" s="50"/>
      <c r="G14" s="50"/>
      <c r="H14" s="50"/>
      <c r="I14" s="50"/>
      <c r="J14" s="50"/>
      <c r="K14" s="2"/>
      <c r="L14" s="2"/>
    </row>
    <row r="15" spans="1:12" ht="19.5" customHeight="1" x14ac:dyDescent="0.3">
      <c r="A15" s="2"/>
      <c r="B15" s="3" t="s">
        <v>10</v>
      </c>
      <c r="C15" s="50" t="s">
        <v>11</v>
      </c>
      <c r="D15" s="50"/>
      <c r="E15" s="50"/>
      <c r="F15" s="50"/>
      <c r="G15" s="50"/>
      <c r="H15" s="50"/>
      <c r="I15" s="50"/>
      <c r="J15" s="50"/>
      <c r="K15" s="2"/>
      <c r="L15" s="2"/>
    </row>
    <row r="16" spans="1:12" ht="19.5" customHeight="1" x14ac:dyDescent="0.3">
      <c r="A16" s="2"/>
      <c r="B16" s="3" t="s">
        <v>12</v>
      </c>
      <c r="C16" s="46" t="s">
        <v>13</v>
      </c>
      <c r="D16" s="46"/>
      <c r="E16" s="46"/>
      <c r="F16" s="46"/>
      <c r="G16" s="46"/>
      <c r="H16" s="46"/>
      <c r="I16" s="46"/>
      <c r="J16" s="46"/>
      <c r="K16" s="2"/>
      <c r="L16" s="2"/>
    </row>
    <row r="17" spans="1:12" ht="19.5" customHeight="1" x14ac:dyDescent="0.3">
      <c r="A17" s="2"/>
      <c r="B17" s="3" t="s">
        <v>14</v>
      </c>
      <c r="C17" s="46" t="s">
        <v>15</v>
      </c>
      <c r="D17" s="46"/>
      <c r="E17" s="46"/>
      <c r="F17" s="46"/>
      <c r="G17" s="46"/>
      <c r="H17" s="46"/>
      <c r="I17" s="46"/>
      <c r="J17" s="46"/>
      <c r="K17" s="2"/>
      <c r="L17" s="2"/>
    </row>
    <row r="18" spans="1:12" ht="1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1.75" customHeight="1" x14ac:dyDescent="0.3">
      <c r="A19" s="2"/>
      <c r="B19" s="47" t="s">
        <v>16</v>
      </c>
      <c r="C19" s="47"/>
      <c r="D19" s="47"/>
      <c r="E19" s="47"/>
      <c r="F19" s="47"/>
      <c r="G19" s="47"/>
      <c r="H19" s="47"/>
      <c r="I19" s="47"/>
      <c r="J19" s="47"/>
      <c r="K19" s="2"/>
      <c r="L19" s="2"/>
    </row>
    <row r="20" spans="1:12" ht="15" customHeight="1" x14ac:dyDescent="0.3">
      <c r="A20" s="2"/>
      <c r="B20" s="48" t="s">
        <v>17</v>
      </c>
      <c r="C20" s="48"/>
      <c r="D20" s="48"/>
      <c r="E20" s="48"/>
      <c r="F20" s="48"/>
      <c r="G20" s="48"/>
      <c r="H20" s="48"/>
      <c r="I20" s="48"/>
      <c r="J20" s="48"/>
      <c r="K20" s="2"/>
      <c r="L20" s="2"/>
    </row>
    <row r="21" spans="1:12" ht="15" customHeight="1" x14ac:dyDescent="0.3">
      <c r="A21" s="2"/>
      <c r="B21" s="48"/>
      <c r="C21" s="48"/>
      <c r="D21" s="48"/>
      <c r="E21" s="48"/>
      <c r="F21" s="48"/>
      <c r="G21" s="48"/>
      <c r="H21" s="48"/>
      <c r="I21" s="48"/>
      <c r="J21" s="48"/>
      <c r="K21" s="2"/>
      <c r="L21" s="2"/>
    </row>
    <row r="22" spans="1:12" ht="15" customHeight="1" x14ac:dyDescent="0.3">
      <c r="A22" s="2"/>
      <c r="B22" s="48"/>
      <c r="C22" s="48"/>
      <c r="D22" s="48"/>
      <c r="E22" s="48"/>
      <c r="F22" s="48"/>
      <c r="G22" s="48"/>
      <c r="H22" s="48"/>
      <c r="I22" s="48"/>
      <c r="J22" s="48"/>
      <c r="K22" s="2"/>
      <c r="L22" s="2"/>
    </row>
    <row r="23" spans="1:12" ht="15" customHeight="1" x14ac:dyDescent="0.3">
      <c r="A23" s="2"/>
      <c r="B23" s="48"/>
      <c r="C23" s="48"/>
      <c r="D23" s="48"/>
      <c r="E23" s="48"/>
      <c r="F23" s="48"/>
      <c r="G23" s="48"/>
      <c r="H23" s="48"/>
      <c r="I23" s="48"/>
      <c r="J23" s="48"/>
      <c r="K23" s="2"/>
      <c r="L23" s="2"/>
    </row>
    <row r="24" spans="1:12" ht="1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1.75" customHeight="1" x14ac:dyDescent="0.3">
      <c r="A25" s="2"/>
      <c r="B25" s="47" t="s">
        <v>18</v>
      </c>
      <c r="C25" s="47"/>
      <c r="D25" s="47"/>
      <c r="E25" s="47"/>
      <c r="F25" s="47"/>
      <c r="G25" s="47"/>
      <c r="H25" s="47"/>
      <c r="I25" s="47"/>
      <c r="J25" s="47"/>
      <c r="K25" s="2"/>
      <c r="L25" s="2"/>
    </row>
    <row r="26" spans="1:12" ht="18" customHeight="1" x14ac:dyDescent="0.3">
      <c r="A26" s="2"/>
      <c r="B26" s="4" t="s">
        <v>19</v>
      </c>
      <c r="C26" s="43" t="s">
        <v>20</v>
      </c>
      <c r="D26" s="43"/>
      <c r="E26" s="44" t="s">
        <v>21</v>
      </c>
      <c r="F26" s="44"/>
      <c r="G26" s="44"/>
      <c r="H26" s="44"/>
      <c r="I26" s="44"/>
      <c r="J26" s="44"/>
      <c r="K26" s="2"/>
      <c r="L26" s="2"/>
    </row>
    <row r="27" spans="1:12" ht="18" customHeight="1" x14ac:dyDescent="0.3">
      <c r="A27" s="2"/>
      <c r="B27" s="4" t="s">
        <v>22</v>
      </c>
      <c r="C27" s="43" t="s">
        <v>23</v>
      </c>
      <c r="D27" s="43"/>
      <c r="E27" s="44" t="s">
        <v>24</v>
      </c>
      <c r="F27" s="44"/>
      <c r="G27" s="44"/>
      <c r="H27" s="44"/>
      <c r="I27" s="44"/>
      <c r="J27" s="44"/>
      <c r="K27" s="2"/>
      <c r="L27" s="2"/>
    </row>
    <row r="28" spans="1:12" ht="18" customHeight="1" x14ac:dyDescent="0.3">
      <c r="A28" s="2"/>
      <c r="B28" s="4" t="s">
        <v>25</v>
      </c>
      <c r="C28" s="43" t="s">
        <v>26</v>
      </c>
      <c r="D28" s="43"/>
      <c r="E28" s="44" t="s">
        <v>26</v>
      </c>
      <c r="F28" s="44"/>
      <c r="G28" s="44"/>
      <c r="H28" s="44"/>
      <c r="I28" s="44"/>
      <c r="J28" s="44"/>
      <c r="K28" s="2"/>
      <c r="L28" s="2"/>
    </row>
    <row r="29" spans="1:12" ht="18" customHeight="1" x14ac:dyDescent="0.3">
      <c r="A29" s="2"/>
      <c r="B29" s="4" t="s">
        <v>27</v>
      </c>
      <c r="C29" s="43" t="s">
        <v>28</v>
      </c>
      <c r="D29" s="43"/>
      <c r="E29" s="44" t="s">
        <v>28</v>
      </c>
      <c r="F29" s="44"/>
      <c r="G29" s="44"/>
      <c r="H29" s="44"/>
      <c r="I29" s="44"/>
      <c r="J29" s="44"/>
      <c r="K29" s="2"/>
      <c r="L29" s="2"/>
    </row>
    <row r="30" spans="1:12" ht="18" customHeight="1" x14ac:dyDescent="0.3">
      <c r="A30" s="2"/>
      <c r="B30" s="4" t="s">
        <v>29</v>
      </c>
      <c r="C30" s="43" t="s">
        <v>30</v>
      </c>
      <c r="D30" s="43"/>
      <c r="E30" s="44" t="s">
        <v>31</v>
      </c>
      <c r="F30" s="44"/>
      <c r="G30" s="44"/>
      <c r="H30" s="44"/>
      <c r="I30" s="44"/>
      <c r="J30" s="44"/>
      <c r="K30" s="2"/>
      <c r="L30" s="2"/>
    </row>
    <row r="31" spans="1:12" ht="18" customHeight="1" x14ac:dyDescent="0.3">
      <c r="A31" s="2"/>
      <c r="B31" s="4" t="s">
        <v>32</v>
      </c>
      <c r="C31" s="43" t="s">
        <v>33</v>
      </c>
      <c r="D31" s="43"/>
      <c r="E31" s="44" t="s">
        <v>33</v>
      </c>
      <c r="F31" s="44"/>
      <c r="G31" s="44"/>
      <c r="H31" s="44"/>
      <c r="I31" s="44"/>
      <c r="J31" s="44"/>
      <c r="K31" s="2"/>
      <c r="L31" s="2"/>
    </row>
    <row r="32" spans="1:12" ht="18" customHeight="1" x14ac:dyDescent="0.3">
      <c r="A32" s="2"/>
      <c r="B32" s="4" t="s">
        <v>34</v>
      </c>
      <c r="C32" s="43" t="s">
        <v>35</v>
      </c>
      <c r="D32" s="43"/>
      <c r="E32" s="44" t="s">
        <v>35</v>
      </c>
      <c r="F32" s="44"/>
      <c r="G32" s="44"/>
      <c r="H32" s="44"/>
      <c r="I32" s="44"/>
      <c r="J32" s="44"/>
      <c r="K32" s="2"/>
      <c r="L32" s="2"/>
    </row>
    <row r="33" spans="1:12" ht="18" customHeight="1" x14ac:dyDescent="0.3">
      <c r="A33" s="2"/>
      <c r="B33" s="4" t="s">
        <v>36</v>
      </c>
      <c r="C33" s="43" t="s">
        <v>37</v>
      </c>
      <c r="D33" s="43"/>
      <c r="E33" s="44" t="s">
        <v>38</v>
      </c>
      <c r="F33" s="44"/>
      <c r="G33" s="44"/>
      <c r="H33" s="44"/>
      <c r="I33" s="44"/>
      <c r="J33" s="44"/>
      <c r="K33" s="2"/>
      <c r="L33" s="2"/>
    </row>
    <row r="34" spans="1:12" ht="1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" customHeight="1" x14ac:dyDescent="0.3">
      <c r="A35" s="2"/>
      <c r="B35" s="45" t="s">
        <v>39</v>
      </c>
      <c r="C35" s="45"/>
      <c r="D35" s="45"/>
      <c r="E35" s="45"/>
      <c r="F35" s="45"/>
      <c r="G35" s="45"/>
      <c r="H35" s="45"/>
      <c r="I35" s="45"/>
      <c r="J35" s="45"/>
      <c r="K35" s="2"/>
      <c r="L35" s="2"/>
    </row>
    <row r="36" spans="1:12" ht="1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</sheetData>
  <mergeCells count="32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B35:J35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7490"/>
    <pageSetUpPr fitToPage="1"/>
  </sheetPr>
  <dimension ref="A2:D18"/>
  <sheetViews>
    <sheetView showGridLines="0" zoomScaleNormal="100" workbookViewId="0"/>
  </sheetViews>
  <sheetFormatPr defaultColWidth="8.6640625" defaultRowHeight="14.4" x14ac:dyDescent="0.3"/>
  <cols>
    <col min="1" max="1" width="3" style="1" customWidth="1"/>
    <col min="2" max="2" width="18" style="1" customWidth="1"/>
    <col min="3" max="3" width="64" style="1" customWidth="1"/>
    <col min="4" max="4" width="4" style="1" customWidth="1"/>
  </cols>
  <sheetData>
    <row r="2" spans="2:3" ht="30" customHeight="1" x14ac:dyDescent="0.3">
      <c r="B2" s="56" t="s">
        <v>40</v>
      </c>
      <c r="C2" s="56"/>
    </row>
    <row r="3" spans="2:3" ht="15.75" customHeight="1" x14ac:dyDescent="0.3">
      <c r="B3" s="57" t="s">
        <v>41</v>
      </c>
      <c r="C3" s="57"/>
    </row>
    <row r="5" spans="2:3" ht="21.75" customHeight="1" x14ac:dyDescent="0.3">
      <c r="B5" s="5" t="s">
        <v>42</v>
      </c>
      <c r="C5" s="6" t="s">
        <v>43</v>
      </c>
    </row>
    <row r="6" spans="2:3" ht="30" customHeight="1" x14ac:dyDescent="0.3">
      <c r="B6" s="7"/>
      <c r="C6" s="8" t="s">
        <v>44</v>
      </c>
    </row>
    <row r="7" spans="2:3" ht="21.75" customHeight="1" x14ac:dyDescent="0.3">
      <c r="B7" s="5" t="s">
        <v>45</v>
      </c>
      <c r="C7" s="6" t="s">
        <v>46</v>
      </c>
    </row>
    <row r="8" spans="2:3" ht="30" customHeight="1" x14ac:dyDescent="0.3">
      <c r="B8" s="7"/>
      <c r="C8" s="8" t="s">
        <v>47</v>
      </c>
    </row>
    <row r="9" spans="2:3" ht="21.75" customHeight="1" x14ac:dyDescent="0.3">
      <c r="B9" s="5" t="s">
        <v>48</v>
      </c>
      <c r="C9" s="6" t="s">
        <v>49</v>
      </c>
    </row>
    <row r="10" spans="2:3" ht="30" customHeight="1" x14ac:dyDescent="0.3">
      <c r="B10" s="7"/>
      <c r="C10" s="8" t="s">
        <v>50</v>
      </c>
    </row>
    <row r="11" spans="2:3" ht="21.75" customHeight="1" x14ac:dyDescent="0.3">
      <c r="B11" s="5" t="s">
        <v>51</v>
      </c>
      <c r="C11" s="6" t="s">
        <v>52</v>
      </c>
    </row>
    <row r="12" spans="2:3" ht="30" customHeight="1" x14ac:dyDescent="0.3">
      <c r="B12" s="7"/>
      <c r="C12" s="8" t="s">
        <v>53</v>
      </c>
    </row>
    <row r="13" spans="2:3" ht="21.75" customHeight="1" x14ac:dyDescent="0.3">
      <c r="B13" s="5" t="s">
        <v>54</v>
      </c>
      <c r="C13" s="6" t="s">
        <v>55</v>
      </c>
    </row>
    <row r="14" spans="2:3" ht="30" customHeight="1" x14ac:dyDescent="0.3">
      <c r="B14" s="7"/>
      <c r="C14" s="8" t="s">
        <v>56</v>
      </c>
    </row>
    <row r="15" spans="2:3" ht="21.75" customHeight="1" x14ac:dyDescent="0.3">
      <c r="B15" s="5" t="s">
        <v>57</v>
      </c>
      <c r="C15" s="6" t="s">
        <v>58</v>
      </c>
    </row>
    <row r="16" spans="2:3" ht="30" customHeight="1" x14ac:dyDescent="0.3">
      <c r="B16" s="7"/>
      <c r="C16" s="8" t="s">
        <v>59</v>
      </c>
    </row>
    <row r="18" spans="2:3" ht="24" customHeight="1" x14ac:dyDescent="0.3">
      <c r="B18" s="58" t="s">
        <v>60</v>
      </c>
      <c r="C18" s="58"/>
    </row>
  </sheetData>
  <mergeCells count="3">
    <mergeCell ref="B2:C2"/>
    <mergeCell ref="B3:C3"/>
    <mergeCell ref="B18:C18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490"/>
    <pageSetUpPr fitToPage="1"/>
  </sheetPr>
  <dimension ref="A2:H12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" style="1" customWidth="1"/>
    <col min="2" max="2" width="48" style="1" customWidth="1"/>
    <col min="3" max="3" width="38" style="1" customWidth="1"/>
    <col min="4" max="4" width="31" style="1" customWidth="1"/>
    <col min="5" max="5" width="29" style="1" customWidth="1"/>
    <col min="6" max="6" width="20" style="1" customWidth="1"/>
    <col min="7" max="8" width="12" style="1" customWidth="1"/>
  </cols>
  <sheetData>
    <row r="2" spans="2:8" ht="30" customHeight="1" x14ac:dyDescent="0.3">
      <c r="B2" s="56" t="s">
        <v>61</v>
      </c>
      <c r="C2" s="56"/>
      <c r="D2" s="56"/>
      <c r="E2" s="56"/>
      <c r="F2" s="56"/>
      <c r="G2" s="56"/>
      <c r="H2" s="56"/>
    </row>
    <row r="3" spans="2:8" ht="15.75" customHeight="1" x14ac:dyDescent="0.3">
      <c r="B3" s="57" t="s">
        <v>62</v>
      </c>
      <c r="C3" s="57"/>
      <c r="D3" s="57"/>
      <c r="E3" s="57"/>
      <c r="F3" s="57"/>
      <c r="G3" s="57"/>
      <c r="H3" s="57"/>
    </row>
    <row r="5" spans="2:8" ht="25.5" customHeight="1" x14ac:dyDescent="0.3">
      <c r="B5" s="9"/>
      <c r="C5" s="9" t="s">
        <v>63</v>
      </c>
      <c r="D5" s="9" t="s">
        <v>64</v>
      </c>
      <c r="E5" s="9" t="s">
        <v>65</v>
      </c>
      <c r="F5" s="9" t="s">
        <v>66</v>
      </c>
      <c r="G5" s="9" t="s">
        <v>67</v>
      </c>
      <c r="H5" s="9" t="s">
        <v>68</v>
      </c>
    </row>
    <row r="6" spans="2:8" ht="27.75" customHeight="1" x14ac:dyDescent="0.3">
      <c r="B6" s="10" t="s">
        <v>69</v>
      </c>
      <c r="C6" s="11" t="s">
        <v>70</v>
      </c>
      <c r="D6" s="11" t="s">
        <v>71</v>
      </c>
      <c r="E6" s="11" t="s">
        <v>72</v>
      </c>
      <c r="F6" s="11" t="s">
        <v>73</v>
      </c>
      <c r="G6" s="11" t="s">
        <v>74</v>
      </c>
      <c r="H6" s="11"/>
    </row>
    <row r="7" spans="2:8" ht="27.75" customHeight="1" x14ac:dyDescent="0.3">
      <c r="B7" s="12" t="s">
        <v>67</v>
      </c>
      <c r="C7" s="13" t="s">
        <v>75</v>
      </c>
      <c r="D7" s="13" t="s">
        <v>76</v>
      </c>
      <c r="E7" s="13" t="s">
        <v>77</v>
      </c>
      <c r="F7" s="13" t="s">
        <v>78</v>
      </c>
      <c r="G7" s="13" t="s">
        <v>79</v>
      </c>
      <c r="H7" s="13"/>
    </row>
    <row r="8" spans="2:8" ht="27.75" customHeight="1" x14ac:dyDescent="0.3">
      <c r="B8" s="10" t="s">
        <v>80</v>
      </c>
      <c r="C8" s="11" t="s">
        <v>81</v>
      </c>
      <c r="D8" s="11" t="s">
        <v>82</v>
      </c>
      <c r="E8" s="11" t="s">
        <v>83</v>
      </c>
      <c r="F8" s="11" t="s">
        <v>84</v>
      </c>
      <c r="G8" s="11" t="s">
        <v>85</v>
      </c>
      <c r="H8" s="11"/>
    </row>
    <row r="9" spans="2:8" ht="27.75" customHeight="1" x14ac:dyDescent="0.3">
      <c r="B9" s="12" t="s">
        <v>86</v>
      </c>
      <c r="C9" s="13" t="s">
        <v>87</v>
      </c>
      <c r="D9" s="13" t="s">
        <v>88</v>
      </c>
      <c r="E9" s="13" t="s">
        <v>89</v>
      </c>
      <c r="F9" s="13" t="s">
        <v>90</v>
      </c>
      <c r="G9" s="13" t="s">
        <v>91</v>
      </c>
      <c r="H9" s="13"/>
    </row>
    <row r="10" spans="2:8" ht="27.75" customHeight="1" x14ac:dyDescent="0.3">
      <c r="B10" s="10" t="s">
        <v>92</v>
      </c>
      <c r="C10" s="11" t="s">
        <v>93</v>
      </c>
      <c r="D10" s="11" t="s">
        <v>94</v>
      </c>
      <c r="E10" s="11" t="s">
        <v>95</v>
      </c>
      <c r="F10" s="11" t="s">
        <v>96</v>
      </c>
      <c r="G10" s="11" t="s">
        <v>97</v>
      </c>
      <c r="H10" s="11"/>
    </row>
    <row r="11" spans="2:8" ht="27.75" customHeight="1" x14ac:dyDescent="0.3">
      <c r="B11" s="12" t="s">
        <v>98</v>
      </c>
      <c r="C11" s="13" t="s">
        <v>99</v>
      </c>
      <c r="D11" s="13" t="s">
        <v>100</v>
      </c>
      <c r="E11" s="13" t="s">
        <v>101</v>
      </c>
      <c r="F11" s="13" t="s">
        <v>102</v>
      </c>
      <c r="G11" s="13" t="s">
        <v>103</v>
      </c>
      <c r="H11" s="13"/>
    </row>
    <row r="12" spans="2:8" ht="27.75" customHeight="1" x14ac:dyDescent="0.3">
      <c r="B12" s="10" t="s">
        <v>104</v>
      </c>
      <c r="C12" s="11" t="s">
        <v>105</v>
      </c>
      <c r="D12" s="11" t="s">
        <v>106</v>
      </c>
      <c r="E12" s="11" t="s">
        <v>107</v>
      </c>
      <c r="F12" s="11" t="s">
        <v>108</v>
      </c>
      <c r="G12" s="11" t="s">
        <v>109</v>
      </c>
      <c r="H12" s="11"/>
    </row>
  </sheetData>
  <mergeCells count="2">
    <mergeCell ref="B2:H2"/>
    <mergeCell ref="B3:H3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7490"/>
    <pageSetUpPr fitToPage="1"/>
  </sheetPr>
  <dimension ref="A2:I2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" style="1" customWidth="1"/>
    <col min="2" max="2" width="48" style="1" customWidth="1"/>
    <col min="3" max="4" width="12" style="1" customWidth="1"/>
    <col min="5" max="5" width="15" style="1" customWidth="1"/>
    <col min="6" max="9" width="12" style="1" customWidth="1"/>
  </cols>
  <sheetData>
    <row r="2" spans="2:9" ht="30" customHeight="1" x14ac:dyDescent="0.3">
      <c r="B2" s="56" t="s">
        <v>110</v>
      </c>
      <c r="C2" s="56"/>
      <c r="D2" s="56"/>
      <c r="E2" s="56"/>
      <c r="F2" s="56"/>
      <c r="G2" s="56"/>
      <c r="H2" s="56"/>
      <c r="I2" s="56"/>
    </row>
    <row r="3" spans="2:9" ht="15.75" customHeight="1" x14ac:dyDescent="0.3">
      <c r="B3" s="57" t="s">
        <v>111</v>
      </c>
      <c r="C3" s="57"/>
      <c r="D3" s="57"/>
      <c r="E3" s="57"/>
      <c r="F3" s="57"/>
      <c r="G3" s="57"/>
      <c r="H3" s="57"/>
      <c r="I3" s="57"/>
    </row>
    <row r="5" spans="2:9" ht="25.5" customHeight="1" x14ac:dyDescent="0.3">
      <c r="B5" s="9"/>
      <c r="C5" s="9" t="s">
        <v>112</v>
      </c>
      <c r="D5" s="9" t="s">
        <v>113</v>
      </c>
      <c r="E5" s="9" t="s">
        <v>114</v>
      </c>
      <c r="F5" s="9" t="s">
        <v>115</v>
      </c>
      <c r="G5" s="9" t="s">
        <v>116</v>
      </c>
      <c r="H5" s="9" t="s">
        <v>102</v>
      </c>
      <c r="I5" s="9" t="s">
        <v>117</v>
      </c>
    </row>
    <row r="6" spans="2:9" ht="27.75" customHeight="1" x14ac:dyDescent="0.3">
      <c r="B6" s="10" t="s">
        <v>118</v>
      </c>
      <c r="C6" s="14" t="s">
        <v>119</v>
      </c>
      <c r="D6" s="15" t="s">
        <v>120</v>
      </c>
      <c r="E6" s="16" t="s">
        <v>121</v>
      </c>
      <c r="F6" s="17" t="s">
        <v>122</v>
      </c>
      <c r="G6" s="11"/>
      <c r="H6" s="11"/>
      <c r="I6" s="11"/>
    </row>
    <row r="7" spans="2:9" ht="27.75" customHeight="1" x14ac:dyDescent="0.3">
      <c r="B7" s="12" t="s">
        <v>123</v>
      </c>
      <c r="C7" s="16" t="s">
        <v>121</v>
      </c>
      <c r="D7" s="15" t="s">
        <v>120</v>
      </c>
      <c r="E7" s="13"/>
      <c r="F7" s="14" t="s">
        <v>119</v>
      </c>
      <c r="G7" s="13"/>
      <c r="H7" s="13"/>
      <c r="I7" s="13"/>
    </row>
    <row r="8" spans="2:9" ht="27.75" customHeight="1" x14ac:dyDescent="0.3">
      <c r="B8" s="10" t="s">
        <v>124</v>
      </c>
      <c r="C8" s="16" t="s">
        <v>121</v>
      </c>
      <c r="D8" s="15" t="s">
        <v>120</v>
      </c>
      <c r="E8" s="16" t="s">
        <v>121</v>
      </c>
      <c r="F8" s="14" t="s">
        <v>119</v>
      </c>
      <c r="G8" s="11"/>
      <c r="H8" s="11"/>
      <c r="I8" s="11"/>
    </row>
    <row r="9" spans="2:9" ht="27.75" customHeight="1" x14ac:dyDescent="0.3">
      <c r="B9" s="12" t="s">
        <v>125</v>
      </c>
      <c r="C9" s="14" t="s">
        <v>119</v>
      </c>
      <c r="D9" s="15" t="s">
        <v>120</v>
      </c>
      <c r="E9" s="16" t="s">
        <v>121</v>
      </c>
      <c r="F9" s="13"/>
      <c r="G9" s="13"/>
      <c r="H9" s="13"/>
      <c r="I9" s="13"/>
    </row>
    <row r="10" spans="2:9" ht="27.75" customHeight="1" x14ac:dyDescent="0.3">
      <c r="B10" s="10" t="s">
        <v>126</v>
      </c>
      <c r="C10" s="14" t="s">
        <v>119</v>
      </c>
      <c r="D10" s="15" t="s">
        <v>120</v>
      </c>
      <c r="E10" s="17" t="s">
        <v>122</v>
      </c>
      <c r="F10" s="11"/>
      <c r="G10" s="11"/>
      <c r="H10" s="16" t="s">
        <v>121</v>
      </c>
      <c r="I10" s="11"/>
    </row>
    <row r="11" spans="2:9" ht="27.75" customHeight="1" x14ac:dyDescent="0.3">
      <c r="B11" s="12" t="s">
        <v>127</v>
      </c>
      <c r="C11" s="14" t="s">
        <v>119</v>
      </c>
      <c r="D11" s="15" t="s">
        <v>120</v>
      </c>
      <c r="E11" s="17" t="s">
        <v>122</v>
      </c>
      <c r="F11" s="13"/>
      <c r="G11" s="16" t="s">
        <v>121</v>
      </c>
      <c r="H11" s="17" t="s">
        <v>122</v>
      </c>
      <c r="I11" s="13"/>
    </row>
    <row r="12" spans="2:9" ht="27.75" customHeight="1" x14ac:dyDescent="0.3">
      <c r="B12" s="10" t="s">
        <v>128</v>
      </c>
      <c r="C12" s="14" t="s">
        <v>119</v>
      </c>
      <c r="D12" s="15" t="s">
        <v>120</v>
      </c>
      <c r="E12" s="17" t="s">
        <v>122</v>
      </c>
      <c r="F12" s="11"/>
      <c r="G12" s="16" t="s">
        <v>121</v>
      </c>
      <c r="H12" s="14" t="s">
        <v>119</v>
      </c>
      <c r="I12" s="11"/>
    </row>
    <row r="13" spans="2:9" ht="27.75" customHeight="1" x14ac:dyDescent="0.3">
      <c r="B13" s="12" t="s">
        <v>129</v>
      </c>
      <c r="C13" s="14" t="s">
        <v>119</v>
      </c>
      <c r="D13" s="15" t="s">
        <v>120</v>
      </c>
      <c r="E13" s="17" t="s">
        <v>122</v>
      </c>
      <c r="F13" s="13"/>
      <c r="G13" s="16" t="s">
        <v>121</v>
      </c>
      <c r="H13" s="17" t="s">
        <v>122</v>
      </c>
      <c r="I13" s="13"/>
    </row>
    <row r="14" spans="2:9" ht="27.75" customHeight="1" x14ac:dyDescent="0.3">
      <c r="B14" s="10" t="s">
        <v>130</v>
      </c>
      <c r="C14" s="14" t="s">
        <v>119</v>
      </c>
      <c r="D14" s="15" t="s">
        <v>120</v>
      </c>
      <c r="E14" s="16" t="s">
        <v>121</v>
      </c>
      <c r="F14" s="11"/>
      <c r="G14" s="11"/>
      <c r="H14" s="16" t="s">
        <v>121</v>
      </c>
      <c r="I14" s="11"/>
    </row>
    <row r="15" spans="2:9" ht="27.75" customHeight="1" x14ac:dyDescent="0.3">
      <c r="B15" s="12" t="s">
        <v>131</v>
      </c>
      <c r="C15" s="13"/>
      <c r="D15" s="14" t="s">
        <v>119</v>
      </c>
      <c r="E15" s="15" t="s">
        <v>120</v>
      </c>
      <c r="F15" s="17" t="s">
        <v>122</v>
      </c>
      <c r="G15" s="13"/>
      <c r="H15" s="13"/>
      <c r="I15" s="13"/>
    </row>
    <row r="16" spans="2:9" ht="27.75" customHeight="1" x14ac:dyDescent="0.3">
      <c r="B16" s="10" t="s">
        <v>132</v>
      </c>
      <c r="C16" s="16" t="s">
        <v>121</v>
      </c>
      <c r="D16" s="14" t="s">
        <v>119</v>
      </c>
      <c r="E16" s="15" t="s">
        <v>120</v>
      </c>
      <c r="F16" s="11"/>
      <c r="G16" s="16" t="s">
        <v>121</v>
      </c>
      <c r="H16" s="16" t="s">
        <v>121</v>
      </c>
      <c r="I16" s="11"/>
    </row>
    <row r="17" spans="2:9" ht="27.75" customHeight="1" x14ac:dyDescent="0.3">
      <c r="B17" s="12" t="s">
        <v>133</v>
      </c>
      <c r="C17" s="14" t="s">
        <v>119</v>
      </c>
      <c r="D17" s="15" t="s">
        <v>120</v>
      </c>
      <c r="E17" s="17" t="s">
        <v>122</v>
      </c>
      <c r="F17" s="13"/>
      <c r="G17" s="17" t="s">
        <v>122</v>
      </c>
      <c r="H17" s="13"/>
      <c r="I17" s="13"/>
    </row>
    <row r="18" spans="2:9" ht="27.75" customHeight="1" x14ac:dyDescent="0.3">
      <c r="B18" s="10" t="s">
        <v>134</v>
      </c>
      <c r="C18" s="11"/>
      <c r="D18" s="16" t="s">
        <v>121</v>
      </c>
      <c r="E18" s="17" t="s">
        <v>122</v>
      </c>
      <c r="F18" s="14" t="s">
        <v>119</v>
      </c>
      <c r="G18" s="11"/>
      <c r="H18" s="11"/>
      <c r="I18" s="11"/>
    </row>
    <row r="19" spans="2:9" ht="27.75" customHeight="1" x14ac:dyDescent="0.3">
      <c r="B19" s="12" t="s">
        <v>135</v>
      </c>
      <c r="C19" s="13"/>
      <c r="D19" s="16" t="s">
        <v>121</v>
      </c>
      <c r="E19" s="17" t="s">
        <v>122</v>
      </c>
      <c r="F19" s="14" t="s">
        <v>119</v>
      </c>
      <c r="G19" s="13"/>
      <c r="H19" s="13"/>
      <c r="I19" s="13"/>
    </row>
    <row r="20" spans="2:9" ht="27.75" customHeight="1" x14ac:dyDescent="0.3">
      <c r="B20" s="10" t="s">
        <v>136</v>
      </c>
      <c r="C20" s="17" t="s">
        <v>122</v>
      </c>
      <c r="D20" s="14" t="s">
        <v>119</v>
      </c>
      <c r="E20" s="15" t="s">
        <v>120</v>
      </c>
      <c r="F20" s="17" t="s">
        <v>122</v>
      </c>
      <c r="G20" s="16" t="s">
        <v>121</v>
      </c>
      <c r="H20" s="16" t="s">
        <v>121</v>
      </c>
      <c r="I20" s="11"/>
    </row>
  </sheetData>
  <mergeCells count="2">
    <mergeCell ref="B2:I2"/>
    <mergeCell ref="B3:I3"/>
  </mergeCells>
  <dataValidations count="1">
    <dataValidation type="list" allowBlank="1" showInputMessage="1" showErrorMessage="1" errorTitle="Invalid RACI" error="Enter R, A, C, or I" promptTitle="RACI Assignment" prompt="R=Responsible, A=Accountable, C=Consulted, I=Informed" sqref="D6:I20" xr:uid="{00000000-0002-0000-0300-000000000000}">
      <formula1>"R,A,C,I,"</formula1>
      <formula2>0</formula2>
    </dataValidation>
  </dataValidation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7490"/>
    <pageSetUpPr fitToPage="1"/>
  </sheetPr>
  <dimension ref="A2:H11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" style="1" customWidth="1"/>
    <col min="2" max="2" width="48" style="1" customWidth="1"/>
    <col min="3" max="3" width="16" style="1" customWidth="1"/>
    <col min="4" max="4" width="25" style="1" customWidth="1"/>
    <col min="5" max="5" width="48" style="1" customWidth="1"/>
    <col min="6" max="8" width="12" style="1" customWidth="1"/>
  </cols>
  <sheetData>
    <row r="2" spans="2:8" ht="30" customHeight="1" x14ac:dyDescent="0.3">
      <c r="B2" s="56" t="s">
        <v>137</v>
      </c>
      <c r="C2" s="56"/>
      <c r="D2" s="56"/>
      <c r="E2" s="56"/>
      <c r="F2" s="56"/>
      <c r="G2" s="56"/>
      <c r="H2" s="56"/>
    </row>
    <row r="3" spans="2:8" ht="15.75" customHeight="1" x14ac:dyDescent="0.3">
      <c r="B3" s="57" t="s">
        <v>138</v>
      </c>
      <c r="C3" s="57"/>
      <c r="D3" s="57"/>
      <c r="E3" s="57"/>
      <c r="F3" s="57"/>
      <c r="G3" s="57"/>
      <c r="H3" s="57"/>
    </row>
    <row r="5" spans="2:8" ht="25.5" customHeight="1" x14ac:dyDescent="0.3">
      <c r="B5" s="9"/>
      <c r="C5" s="9" t="s">
        <v>139</v>
      </c>
      <c r="D5" s="9" t="s">
        <v>140</v>
      </c>
      <c r="E5" s="9" t="s">
        <v>141</v>
      </c>
      <c r="F5" s="9" t="s">
        <v>142</v>
      </c>
      <c r="G5" s="9" t="s">
        <v>143</v>
      </c>
      <c r="H5" s="9" t="s">
        <v>68</v>
      </c>
    </row>
    <row r="6" spans="2:8" ht="27.75" customHeight="1" x14ac:dyDescent="0.3">
      <c r="B6" s="10">
        <v>1</v>
      </c>
      <c r="C6" s="11" t="s">
        <v>144</v>
      </c>
      <c r="D6" s="11" t="s">
        <v>145</v>
      </c>
      <c r="E6" s="11" t="s">
        <v>146</v>
      </c>
      <c r="F6" s="11" t="s">
        <v>147</v>
      </c>
      <c r="G6" s="11" t="s">
        <v>74</v>
      </c>
      <c r="H6" s="11"/>
    </row>
    <row r="7" spans="2:8" ht="27.75" customHeight="1" x14ac:dyDescent="0.3">
      <c r="B7" s="12">
        <v>2</v>
      </c>
      <c r="C7" s="13" t="s">
        <v>148</v>
      </c>
      <c r="D7" s="13" t="s">
        <v>149</v>
      </c>
      <c r="E7" s="13" t="s">
        <v>150</v>
      </c>
      <c r="F7" s="13" t="s">
        <v>147</v>
      </c>
      <c r="G7" s="13" t="s">
        <v>79</v>
      </c>
      <c r="H7" s="13"/>
    </row>
    <row r="8" spans="2:8" ht="27.75" customHeight="1" x14ac:dyDescent="0.3">
      <c r="B8" s="10">
        <v>3</v>
      </c>
      <c r="C8" s="11" t="s">
        <v>151</v>
      </c>
      <c r="D8" s="11" t="s">
        <v>152</v>
      </c>
      <c r="E8" s="11" t="s">
        <v>153</v>
      </c>
      <c r="F8" s="11" t="s">
        <v>147</v>
      </c>
      <c r="G8" s="11" t="s">
        <v>85</v>
      </c>
      <c r="H8" s="11"/>
    </row>
    <row r="9" spans="2:8" ht="27.75" customHeight="1" x14ac:dyDescent="0.3">
      <c r="B9" s="12">
        <v>4</v>
      </c>
      <c r="C9" s="13" t="s">
        <v>154</v>
      </c>
      <c r="D9" s="13" t="s">
        <v>155</v>
      </c>
      <c r="E9" s="13" t="s">
        <v>156</v>
      </c>
      <c r="F9" s="13" t="s">
        <v>147</v>
      </c>
      <c r="G9" s="13" t="s">
        <v>91</v>
      </c>
      <c r="H9" s="13"/>
    </row>
    <row r="10" spans="2:8" ht="27.75" customHeight="1" x14ac:dyDescent="0.3">
      <c r="B10" s="10">
        <v>5</v>
      </c>
      <c r="C10" s="11" t="s">
        <v>154</v>
      </c>
      <c r="D10" s="11" t="s">
        <v>157</v>
      </c>
      <c r="E10" s="11" t="s">
        <v>158</v>
      </c>
      <c r="F10" s="11" t="s">
        <v>147</v>
      </c>
      <c r="G10" s="11" t="s">
        <v>97</v>
      </c>
      <c r="H10" s="11"/>
    </row>
    <row r="11" spans="2:8" ht="27.75" customHeight="1" x14ac:dyDescent="0.3">
      <c r="B11" s="12">
        <v>6</v>
      </c>
      <c r="C11" s="13" t="s">
        <v>154</v>
      </c>
      <c r="D11" s="13" t="s">
        <v>159</v>
      </c>
      <c r="E11" s="13" t="s">
        <v>160</v>
      </c>
      <c r="F11" s="13" t="s">
        <v>147</v>
      </c>
      <c r="G11" s="13" t="s">
        <v>109</v>
      </c>
      <c r="H11" s="13"/>
    </row>
  </sheetData>
  <mergeCells count="2">
    <mergeCell ref="B2:H2"/>
    <mergeCell ref="B3:H3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490"/>
    <pageSetUpPr fitToPage="1"/>
  </sheetPr>
  <dimension ref="A2:H11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" style="1" customWidth="1"/>
    <col min="2" max="2" width="48" style="1" customWidth="1"/>
    <col min="3" max="3" width="15" style="1" customWidth="1"/>
    <col min="4" max="4" width="25" style="1" customWidth="1"/>
    <col min="5" max="5" width="48" style="1" customWidth="1"/>
    <col min="6" max="8" width="12" style="1" customWidth="1"/>
  </cols>
  <sheetData>
    <row r="2" spans="2:8" ht="30" customHeight="1" x14ac:dyDescent="0.3">
      <c r="B2" s="56" t="s">
        <v>28</v>
      </c>
      <c r="C2" s="56"/>
      <c r="D2" s="56"/>
      <c r="E2" s="56"/>
      <c r="F2" s="56"/>
      <c r="G2" s="56"/>
      <c r="H2" s="56"/>
    </row>
    <row r="3" spans="2:8" ht="15.75" customHeight="1" x14ac:dyDescent="0.3">
      <c r="B3" s="57" t="s">
        <v>161</v>
      </c>
      <c r="C3" s="57"/>
      <c r="D3" s="57"/>
      <c r="E3" s="57"/>
      <c r="F3" s="57"/>
      <c r="G3" s="57"/>
      <c r="H3" s="57"/>
    </row>
    <row r="5" spans="2:8" ht="25.5" customHeight="1" x14ac:dyDescent="0.3">
      <c r="B5" s="9"/>
      <c r="C5" s="9" t="s">
        <v>139</v>
      </c>
      <c r="D5" s="9" t="s">
        <v>140</v>
      </c>
      <c r="E5" s="9" t="s">
        <v>141</v>
      </c>
      <c r="F5" s="9" t="s">
        <v>142</v>
      </c>
      <c r="G5" s="9" t="s">
        <v>162</v>
      </c>
      <c r="H5" s="9" t="s">
        <v>68</v>
      </c>
    </row>
    <row r="6" spans="2:8" ht="27.75" customHeight="1" x14ac:dyDescent="0.3">
      <c r="B6" s="10">
        <v>1</v>
      </c>
      <c r="C6" s="11" t="s">
        <v>154</v>
      </c>
      <c r="D6" s="11" t="s">
        <v>163</v>
      </c>
      <c r="E6" s="11" t="s">
        <v>164</v>
      </c>
      <c r="F6" s="11" t="s">
        <v>165</v>
      </c>
      <c r="G6" s="11" t="s">
        <v>97</v>
      </c>
      <c r="H6" s="11"/>
    </row>
    <row r="7" spans="2:8" ht="27.75" customHeight="1" x14ac:dyDescent="0.3">
      <c r="B7" s="12">
        <v>2</v>
      </c>
      <c r="C7" s="13" t="s">
        <v>113</v>
      </c>
      <c r="D7" s="13" t="s">
        <v>166</v>
      </c>
      <c r="E7" s="13" t="s">
        <v>167</v>
      </c>
      <c r="F7" s="13" t="s">
        <v>168</v>
      </c>
      <c r="G7" s="13" t="s">
        <v>97</v>
      </c>
      <c r="H7" s="13"/>
    </row>
    <row r="8" spans="2:8" ht="27.75" customHeight="1" x14ac:dyDescent="0.3">
      <c r="B8" s="10">
        <v>3</v>
      </c>
      <c r="C8" s="11" t="s">
        <v>113</v>
      </c>
      <c r="D8" s="11" t="s">
        <v>169</v>
      </c>
      <c r="E8" s="11" t="s">
        <v>170</v>
      </c>
      <c r="F8" s="11" t="s">
        <v>171</v>
      </c>
      <c r="G8" s="11" t="s">
        <v>97</v>
      </c>
      <c r="H8" s="11"/>
    </row>
    <row r="9" spans="2:8" ht="27.75" customHeight="1" x14ac:dyDescent="0.3">
      <c r="B9" s="12">
        <v>4</v>
      </c>
      <c r="C9" s="13" t="s">
        <v>113</v>
      </c>
      <c r="D9" s="13" t="s">
        <v>172</v>
      </c>
      <c r="E9" s="13" t="s">
        <v>173</v>
      </c>
      <c r="F9" s="13" t="s">
        <v>171</v>
      </c>
      <c r="G9" s="13" t="s">
        <v>103</v>
      </c>
      <c r="H9" s="13"/>
    </row>
    <row r="10" spans="2:8" ht="27.75" customHeight="1" x14ac:dyDescent="0.3">
      <c r="B10" s="10">
        <v>5</v>
      </c>
      <c r="C10" s="11" t="s">
        <v>114</v>
      </c>
      <c r="D10" s="11" t="s">
        <v>174</v>
      </c>
      <c r="E10" s="11" t="s">
        <v>175</v>
      </c>
      <c r="F10" s="11" t="s">
        <v>176</v>
      </c>
      <c r="G10" s="11" t="s">
        <v>103</v>
      </c>
      <c r="H10" s="11"/>
    </row>
    <row r="11" spans="2:8" ht="27.75" customHeight="1" x14ac:dyDescent="0.3">
      <c r="B11" s="12">
        <v>6</v>
      </c>
      <c r="C11" s="13" t="s">
        <v>154</v>
      </c>
      <c r="D11" s="13" t="s">
        <v>177</v>
      </c>
      <c r="E11" s="13" t="s">
        <v>178</v>
      </c>
      <c r="F11" s="13" t="s">
        <v>165</v>
      </c>
      <c r="G11" s="13" t="s">
        <v>109</v>
      </c>
      <c r="H11" s="13"/>
    </row>
  </sheetData>
  <mergeCells count="2">
    <mergeCell ref="B2:H2"/>
    <mergeCell ref="B3:H3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  <pageSetUpPr fitToPage="1"/>
  </sheetPr>
  <dimension ref="A2:J18"/>
  <sheetViews>
    <sheetView showGridLines="0" tabSelected="1" zoomScaleNormal="100" workbookViewId="0">
      <pane ySplit="5" topLeftCell="A6" activePane="bottomLeft" state="frozen"/>
      <selection pane="bottomLeft" activeCell="F8" sqref="F8"/>
    </sheetView>
  </sheetViews>
  <sheetFormatPr defaultColWidth="8.6640625" defaultRowHeight="14.4" x14ac:dyDescent="0.3"/>
  <cols>
    <col min="1" max="1" width="3" style="1" customWidth="1"/>
    <col min="2" max="2" width="36" style="1" customWidth="1"/>
    <col min="3" max="4" width="11" style="1" customWidth="1"/>
    <col min="5" max="7" width="10" style="1" customWidth="1"/>
    <col min="8" max="8" width="13" style="1" customWidth="1"/>
    <col min="9" max="9" width="11" style="1" customWidth="1"/>
    <col min="10" max="10" width="52" style="1" customWidth="1"/>
  </cols>
  <sheetData>
    <row r="2" spans="2:10" ht="30" customHeight="1" x14ac:dyDescent="0.3">
      <c r="B2" s="59" t="s">
        <v>179</v>
      </c>
      <c r="C2" s="59"/>
      <c r="D2" s="59"/>
      <c r="E2" s="59"/>
      <c r="F2" s="59"/>
      <c r="G2" s="59"/>
      <c r="H2" s="59"/>
      <c r="I2" s="59"/>
      <c r="J2" s="59"/>
    </row>
    <row r="3" spans="2:10" ht="15.75" customHeight="1" x14ac:dyDescent="0.3">
      <c r="B3" s="60" t="s">
        <v>180</v>
      </c>
      <c r="C3" s="60"/>
      <c r="D3" s="60"/>
      <c r="E3" s="60"/>
      <c r="F3" s="60"/>
      <c r="G3" s="60"/>
      <c r="H3" s="60"/>
      <c r="I3" s="60"/>
      <c r="J3" s="60"/>
    </row>
    <row r="5" spans="2:10" ht="25.5" customHeight="1" x14ac:dyDescent="0.3">
      <c r="B5" s="9" t="s">
        <v>181</v>
      </c>
      <c r="C5" s="9" t="s">
        <v>182</v>
      </c>
      <c r="D5" s="9" t="s">
        <v>183</v>
      </c>
      <c r="E5" s="9" t="s">
        <v>184</v>
      </c>
      <c r="F5" s="9" t="s">
        <v>185</v>
      </c>
      <c r="G5" s="9" t="s">
        <v>186</v>
      </c>
      <c r="H5" s="9" t="s">
        <v>187</v>
      </c>
      <c r="I5" s="9" t="s">
        <v>188</v>
      </c>
      <c r="J5" s="9" t="s">
        <v>189</v>
      </c>
    </row>
    <row r="6" spans="2:10" ht="22.8" x14ac:dyDescent="0.3">
      <c r="B6" s="18" t="s">
        <v>190</v>
      </c>
      <c r="C6" s="42">
        <v>93</v>
      </c>
      <c r="D6" s="42">
        <v>90</v>
      </c>
      <c r="E6" s="19">
        <v>95</v>
      </c>
      <c r="F6" s="20">
        <v>78</v>
      </c>
      <c r="G6" s="20">
        <v>55</v>
      </c>
      <c r="H6" s="41" t="str">
        <f>IF(OR(C6="",D6=""),"—",IF(C6&gt;=D6,"● Green",IF(C6&gt;=D6*0.8,"◐ Amber","○ Red")))</f>
        <v>● Green</v>
      </c>
      <c r="I6" s="21" t="s">
        <v>85</v>
      </c>
      <c r="J6" s="22" t="s">
        <v>191</v>
      </c>
    </row>
    <row r="7" spans="2:10" ht="22.8" x14ac:dyDescent="0.3">
      <c r="B7" s="23" t="s">
        <v>192</v>
      </c>
      <c r="C7" s="42"/>
      <c r="D7" s="42"/>
      <c r="E7" s="37">
        <v>99.8</v>
      </c>
      <c r="F7" s="38">
        <v>97</v>
      </c>
      <c r="G7" s="38">
        <v>92</v>
      </c>
      <c r="H7" s="39" t="str">
        <f>IF(OR(C7="",D7=""),"—",IF(C7&gt;=D7,"● Green",IF(C7&gt;=D7*0.8,"◐ Amber","○ Red")))</f>
        <v>—</v>
      </c>
      <c r="I7" s="40" t="s">
        <v>85</v>
      </c>
      <c r="J7" s="22" t="s">
        <v>193</v>
      </c>
    </row>
    <row r="8" spans="2:10" ht="15" customHeight="1" x14ac:dyDescent="0.3">
      <c r="B8" s="24" t="s">
        <v>194</v>
      </c>
      <c r="C8" s="42"/>
      <c r="D8" s="42"/>
      <c r="E8" s="37">
        <v>1</v>
      </c>
      <c r="F8" s="38">
        <v>4</v>
      </c>
      <c r="G8" s="38">
        <v>12</v>
      </c>
      <c r="H8" s="39" t="str">
        <f t="shared" ref="H8:H13" si="0">IF(OR(C8="",D8=""),"—",IF(C8&lt;=D8,"● Green",IF(C8&lt;=D8*1.2,"◐ Amber","○ Red")))</f>
        <v>—</v>
      </c>
      <c r="I8" s="40" t="s">
        <v>91</v>
      </c>
      <c r="J8" s="22" t="s">
        <v>195</v>
      </c>
    </row>
    <row r="9" spans="2:10" ht="22.8" x14ac:dyDescent="0.3">
      <c r="B9" s="23" t="s">
        <v>196</v>
      </c>
      <c r="C9" s="42"/>
      <c r="D9" s="42"/>
      <c r="E9" s="37">
        <v>3</v>
      </c>
      <c r="F9" s="38">
        <v>8</v>
      </c>
      <c r="G9" s="38">
        <v>20</v>
      </c>
      <c r="H9" s="39" t="str">
        <f t="shared" si="0"/>
        <v>—</v>
      </c>
      <c r="I9" s="40" t="s">
        <v>97</v>
      </c>
      <c r="J9" s="22" t="s">
        <v>197</v>
      </c>
    </row>
    <row r="10" spans="2:10" x14ac:dyDescent="0.3">
      <c r="B10" s="23" t="s">
        <v>198</v>
      </c>
      <c r="C10" s="42"/>
      <c r="D10" s="42"/>
      <c r="E10" s="37">
        <v>0.18</v>
      </c>
      <c r="F10" s="38">
        <v>0.35</v>
      </c>
      <c r="G10" s="38">
        <v>0.75</v>
      </c>
      <c r="H10" s="39" t="str">
        <f t="shared" si="0"/>
        <v>—</v>
      </c>
      <c r="I10" s="40" t="s">
        <v>91</v>
      </c>
      <c r="J10" s="22" t="s">
        <v>199</v>
      </c>
    </row>
    <row r="11" spans="2:10" x14ac:dyDescent="0.3">
      <c r="B11" s="23" t="s">
        <v>200</v>
      </c>
      <c r="C11" s="42"/>
      <c r="D11" s="42"/>
      <c r="E11" s="37">
        <v>1.5</v>
      </c>
      <c r="F11" s="38">
        <v>3.2</v>
      </c>
      <c r="G11" s="38">
        <v>6.8</v>
      </c>
      <c r="H11" s="39" t="str">
        <f t="shared" si="0"/>
        <v>—</v>
      </c>
      <c r="I11" s="40" t="s">
        <v>97</v>
      </c>
      <c r="J11" s="22" t="s">
        <v>201</v>
      </c>
    </row>
    <row r="12" spans="2:10" x14ac:dyDescent="0.3">
      <c r="B12" s="23" t="s">
        <v>202</v>
      </c>
      <c r="C12" s="42"/>
      <c r="D12" s="42"/>
      <c r="E12" s="37">
        <v>2</v>
      </c>
      <c r="F12" s="38">
        <v>6</v>
      </c>
      <c r="G12" s="38">
        <v>24</v>
      </c>
      <c r="H12" s="39" t="str">
        <f t="shared" si="0"/>
        <v>—</v>
      </c>
      <c r="I12" s="40" t="s">
        <v>97</v>
      </c>
      <c r="J12" s="22" t="s">
        <v>203</v>
      </c>
    </row>
    <row r="13" spans="2:10" ht="22.8" x14ac:dyDescent="0.3">
      <c r="B13" s="23" t="s">
        <v>204</v>
      </c>
      <c r="C13" s="42"/>
      <c r="D13" s="42"/>
      <c r="E13" s="37">
        <v>1</v>
      </c>
      <c r="F13" s="38">
        <v>3</v>
      </c>
      <c r="G13" s="38">
        <v>8</v>
      </c>
      <c r="H13" s="39" t="str">
        <f t="shared" si="0"/>
        <v>—</v>
      </c>
      <c r="I13" s="40" t="s">
        <v>103</v>
      </c>
      <c r="J13" s="22" t="s">
        <v>205</v>
      </c>
    </row>
    <row r="14" spans="2:10" ht="22.8" x14ac:dyDescent="0.3">
      <c r="B14" s="23" t="s">
        <v>206</v>
      </c>
      <c r="C14" s="42"/>
      <c r="D14" s="42"/>
      <c r="E14" s="37">
        <v>92</v>
      </c>
      <c r="F14" s="38">
        <v>72</v>
      </c>
      <c r="G14" s="38">
        <v>50</v>
      </c>
      <c r="H14" s="39" t="str">
        <f>IF(OR(C14="",D14=""),"—",IF(C14&gt;=D14,"● Green",IF(C14&gt;=D14*0.8,"◐ Amber","○ Red")))</f>
        <v>—</v>
      </c>
      <c r="I14" s="40" t="s">
        <v>91</v>
      </c>
      <c r="J14" s="22" t="s">
        <v>207</v>
      </c>
    </row>
    <row r="15" spans="2:10" x14ac:dyDescent="0.3">
      <c r="B15" s="23" t="s">
        <v>208</v>
      </c>
      <c r="C15" s="42"/>
      <c r="D15" s="42"/>
      <c r="E15" s="37">
        <v>0.8</v>
      </c>
      <c r="F15" s="38">
        <v>1.5</v>
      </c>
      <c r="G15" s="38">
        <v>3.5</v>
      </c>
      <c r="H15" s="39" t="str">
        <f>IF(OR(C15="",D15=""),"—",IF(C15&lt;=D15,"● Green",IF(C15&lt;=D15*1.2,"◐ Amber","○ Red")))</f>
        <v>—</v>
      </c>
      <c r="I15" s="40" t="s">
        <v>209</v>
      </c>
      <c r="J15" s="22" t="s">
        <v>210</v>
      </c>
    </row>
    <row r="16" spans="2:10" x14ac:dyDescent="0.3">
      <c r="B16" s="23" t="s">
        <v>211</v>
      </c>
      <c r="C16" s="42"/>
      <c r="D16" s="42"/>
      <c r="E16" s="37">
        <v>1</v>
      </c>
      <c r="F16" s="38">
        <v>3</v>
      </c>
      <c r="G16" s="38">
        <v>6</v>
      </c>
      <c r="H16" s="39" t="str">
        <f>IF(OR(C16="",D16=""),"—",IF(C16&lt;=D16,"● Green",IF(C16&lt;=D16*1.2,"◐ Amber","○ Red")))</f>
        <v>—</v>
      </c>
      <c r="I16" s="40" t="s">
        <v>109</v>
      </c>
      <c r="J16" s="22" t="s">
        <v>212</v>
      </c>
    </row>
    <row r="17" spans="2:5" x14ac:dyDescent="0.3">
      <c r="E17" s="25"/>
    </row>
    <row r="18" spans="2:5" x14ac:dyDescent="0.3">
      <c r="B18" s="26" t="s">
        <v>213</v>
      </c>
      <c r="E18" s="25"/>
    </row>
  </sheetData>
  <mergeCells count="2">
    <mergeCell ref="B2:J2"/>
    <mergeCell ref="B3:J3"/>
  </mergeCells>
  <conditionalFormatting sqref="H6:H16">
    <cfRule type="expression" dxfId="2" priority="1">
      <formula>ISNUMBER(SEARCH("On Target",H6))</formula>
    </cfRule>
    <cfRule type="expression" dxfId="1" priority="2">
      <formula>ISNUMBER(SEARCH("Near",H6))</formula>
    </cfRule>
    <cfRule type="expression" dxfId="0" priority="3">
      <formula>ISNUMBER(SEARCH("Off Target",H6))</formula>
    </cfRule>
  </conditionalFormatting>
  <dataValidations count="1">
    <dataValidation type="decimal" operator="greaterThanOrEqual" allowBlank="1" showInputMessage="1" showErrorMessage="1" errorTitle="Invalid Value" error="Enter a positive number" promptTitle="KPI Value" prompt="Enter your current/target value (blue input cell)" sqref="C6:D16" xr:uid="{00000000-0002-0000-0600-000000000000}">
      <formula1>0</formula1>
      <formula2>0</formula2>
    </dataValidation>
  </dataValidation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490"/>
    <pageSetUpPr fitToPage="1"/>
  </sheetPr>
  <dimension ref="A2:H2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" style="1" customWidth="1"/>
    <col min="2" max="2" width="48" style="1" customWidth="1"/>
    <col min="3" max="3" width="14" style="1" customWidth="1"/>
    <col min="4" max="4" width="19" style="1" customWidth="1"/>
    <col min="5" max="5" width="37" style="1" customWidth="1"/>
    <col min="6" max="6" width="43" style="1" customWidth="1"/>
    <col min="7" max="7" width="13" style="1" customWidth="1"/>
    <col min="8" max="8" width="12" style="1" customWidth="1"/>
  </cols>
  <sheetData>
    <row r="2" spans="2:8" ht="30" customHeight="1" x14ac:dyDescent="0.3">
      <c r="B2" s="56" t="s">
        <v>33</v>
      </c>
      <c r="C2" s="56"/>
      <c r="D2" s="56"/>
      <c r="E2" s="56"/>
      <c r="F2" s="56"/>
      <c r="G2" s="56"/>
      <c r="H2" s="56"/>
    </row>
    <row r="3" spans="2:8" ht="15.75" customHeight="1" x14ac:dyDescent="0.3">
      <c r="B3" s="57" t="s">
        <v>214</v>
      </c>
      <c r="C3" s="57"/>
      <c r="D3" s="57"/>
      <c r="E3" s="57"/>
      <c r="F3" s="57"/>
      <c r="G3" s="57"/>
      <c r="H3" s="57"/>
    </row>
    <row r="5" spans="2:8" ht="25.5" customHeight="1" x14ac:dyDescent="0.3">
      <c r="B5" s="9"/>
      <c r="C5" s="9" t="s">
        <v>215</v>
      </c>
      <c r="D5" s="9" t="s">
        <v>216</v>
      </c>
      <c r="E5" s="9" t="s">
        <v>217</v>
      </c>
      <c r="F5" s="9" t="s">
        <v>218</v>
      </c>
      <c r="G5" s="9" t="s">
        <v>219</v>
      </c>
      <c r="H5" s="9" t="s">
        <v>220</v>
      </c>
    </row>
    <row r="6" spans="2:8" ht="27.75" customHeight="1" x14ac:dyDescent="0.3">
      <c r="B6" s="10"/>
      <c r="C6" s="27" t="s">
        <v>221</v>
      </c>
      <c r="D6" s="27" t="s">
        <v>222</v>
      </c>
      <c r="E6" s="28"/>
      <c r="F6" s="29"/>
      <c r="G6" s="27" t="str">
        <f t="shared" ref="G6:G18" si="0">IF(F6="","",IF(F6&gt;=0.9,"✓ YES","✗ NO"))</f>
        <v/>
      </c>
      <c r="H6" s="27"/>
    </row>
    <row r="7" spans="2:8" ht="27.75" customHeight="1" x14ac:dyDescent="0.3">
      <c r="B7" s="12"/>
      <c r="C7" s="30" t="s">
        <v>223</v>
      </c>
      <c r="D7" s="30" t="s">
        <v>222</v>
      </c>
      <c r="E7" s="31"/>
      <c r="F7" s="32"/>
      <c r="G7" s="30" t="str">
        <f t="shared" si="0"/>
        <v/>
      </c>
      <c r="H7" s="30"/>
    </row>
    <row r="8" spans="2:8" ht="27.75" customHeight="1" x14ac:dyDescent="0.3">
      <c r="B8" s="10"/>
      <c r="C8" s="27" t="s">
        <v>224</v>
      </c>
      <c r="D8" s="27" t="s">
        <v>222</v>
      </c>
      <c r="E8" s="28"/>
      <c r="F8" s="29"/>
      <c r="G8" s="27" t="str">
        <f t="shared" si="0"/>
        <v/>
      </c>
      <c r="H8" s="27"/>
    </row>
    <row r="9" spans="2:8" ht="27.75" customHeight="1" x14ac:dyDescent="0.3">
      <c r="B9" s="12"/>
      <c r="C9" s="30" t="s">
        <v>225</v>
      </c>
      <c r="D9" s="30" t="s">
        <v>222</v>
      </c>
      <c r="E9" s="31"/>
      <c r="F9" s="32"/>
      <c r="G9" s="30" t="str">
        <f t="shared" si="0"/>
        <v/>
      </c>
      <c r="H9" s="30"/>
    </row>
    <row r="10" spans="2:8" ht="27.75" customHeight="1" x14ac:dyDescent="0.3">
      <c r="B10" s="10"/>
      <c r="C10" s="27" t="s">
        <v>226</v>
      </c>
      <c r="D10" s="27" t="s">
        <v>222</v>
      </c>
      <c r="E10" s="28"/>
      <c r="F10" s="29"/>
      <c r="G10" s="27" t="str">
        <f t="shared" si="0"/>
        <v/>
      </c>
      <c r="H10" s="27"/>
    </row>
    <row r="11" spans="2:8" ht="27.75" customHeight="1" x14ac:dyDescent="0.3">
      <c r="B11" s="12"/>
      <c r="C11" s="30" t="s">
        <v>227</v>
      </c>
      <c r="D11" s="30" t="s">
        <v>222</v>
      </c>
      <c r="E11" s="31"/>
      <c r="F11" s="32"/>
      <c r="G11" s="30" t="str">
        <f t="shared" si="0"/>
        <v/>
      </c>
      <c r="H11" s="30"/>
    </row>
    <row r="12" spans="2:8" ht="27.75" customHeight="1" x14ac:dyDescent="0.3">
      <c r="B12" s="10"/>
      <c r="C12" s="27" t="s">
        <v>228</v>
      </c>
      <c r="D12" s="27" t="s">
        <v>222</v>
      </c>
      <c r="E12" s="28"/>
      <c r="F12" s="29"/>
      <c r="G12" s="27" t="str">
        <f t="shared" si="0"/>
        <v/>
      </c>
      <c r="H12" s="27"/>
    </row>
    <row r="13" spans="2:8" ht="27.75" customHeight="1" x14ac:dyDescent="0.3">
      <c r="B13" s="12"/>
      <c r="C13" s="30" t="s">
        <v>229</v>
      </c>
      <c r="D13" s="30" t="s">
        <v>222</v>
      </c>
      <c r="E13" s="31"/>
      <c r="F13" s="32"/>
      <c r="G13" s="30" t="str">
        <f t="shared" si="0"/>
        <v/>
      </c>
      <c r="H13" s="30"/>
    </row>
    <row r="14" spans="2:8" ht="27.75" customHeight="1" x14ac:dyDescent="0.3">
      <c r="B14" s="10"/>
      <c r="C14" s="27" t="s">
        <v>230</v>
      </c>
      <c r="D14" s="27" t="s">
        <v>222</v>
      </c>
      <c r="E14" s="28"/>
      <c r="F14" s="29"/>
      <c r="G14" s="27" t="str">
        <f t="shared" si="0"/>
        <v/>
      </c>
      <c r="H14" s="27"/>
    </row>
    <row r="15" spans="2:8" ht="27.75" customHeight="1" x14ac:dyDescent="0.3">
      <c r="B15" s="12"/>
      <c r="C15" s="30" t="s">
        <v>231</v>
      </c>
      <c r="D15" s="30" t="s">
        <v>222</v>
      </c>
      <c r="E15" s="31"/>
      <c r="F15" s="32"/>
      <c r="G15" s="30" t="str">
        <f t="shared" si="0"/>
        <v/>
      </c>
      <c r="H15" s="30"/>
    </row>
    <row r="16" spans="2:8" ht="27.75" customHeight="1" x14ac:dyDescent="0.3">
      <c r="B16" s="10"/>
      <c r="C16" s="27" t="s">
        <v>232</v>
      </c>
      <c r="D16" s="27" t="s">
        <v>222</v>
      </c>
      <c r="E16" s="28"/>
      <c r="F16" s="29"/>
      <c r="G16" s="27" t="str">
        <f t="shared" si="0"/>
        <v/>
      </c>
      <c r="H16" s="27"/>
    </row>
    <row r="17" spans="2:8" ht="27.75" customHeight="1" x14ac:dyDescent="0.3">
      <c r="B17" s="12"/>
      <c r="C17" s="30" t="s">
        <v>233</v>
      </c>
      <c r="D17" s="30" t="s">
        <v>222</v>
      </c>
      <c r="E17" s="31"/>
      <c r="F17" s="32"/>
      <c r="G17" s="30" t="str">
        <f t="shared" si="0"/>
        <v/>
      </c>
      <c r="H17" s="30"/>
    </row>
    <row r="18" spans="2:8" ht="27.75" customHeight="1" x14ac:dyDescent="0.3">
      <c r="B18" s="10"/>
      <c r="C18" s="27" t="s">
        <v>234</v>
      </c>
      <c r="D18" s="27" t="s">
        <v>222</v>
      </c>
      <c r="E18" s="28"/>
      <c r="F18" s="29"/>
      <c r="G18" s="27" t="str">
        <f t="shared" si="0"/>
        <v/>
      </c>
      <c r="H18" s="27"/>
    </row>
    <row r="19" spans="2:8" ht="27.75" customHeight="1" x14ac:dyDescent="0.3">
      <c r="B19" s="12"/>
      <c r="C19" s="33" t="s">
        <v>235</v>
      </c>
      <c r="D19" s="13"/>
      <c r="E19" s="13"/>
      <c r="F19" s="34">
        <f>IFERROR(AVERAGE(F6:F18),0)</f>
        <v>0</v>
      </c>
      <c r="G19" s="13"/>
      <c r="H19" s="13"/>
    </row>
    <row r="20" spans="2:8" ht="27.75" customHeight="1" x14ac:dyDescent="0.3">
      <c r="B20" s="10"/>
      <c r="C20" s="35" t="s">
        <v>236</v>
      </c>
      <c r="D20" s="11"/>
      <c r="E20" s="11"/>
      <c r="F20" s="36">
        <f>COUNTIF(G6:G18,"✓ YES")</f>
        <v>0</v>
      </c>
      <c r="G20" s="11"/>
      <c r="H20" s="11"/>
    </row>
  </sheetData>
  <mergeCells count="2">
    <mergeCell ref="B2:H2"/>
    <mergeCell ref="B3:H3"/>
  </mergeCells>
  <dataValidations count="3">
    <dataValidation type="list" allowBlank="1" showInputMessage="1" showErrorMessage="1" errorTitle="Invalid Source" error="Select a valid remittance source" promptTitle="Remittance Source" prompt="Select remittance source" sqref="D6:D18" xr:uid="{00000000-0002-0000-0700-000000000000}">
      <formula1>"BAI2 / MT940,EDI 820,Email / PDF,Portal,Card / ACH,Wire,Other"</formula1>
      <formula2>0</formula2>
    </dataValidation>
    <dataValidation type="decimal" allowBlank="1" showInputMessage="1" showErrorMessage="1" errorTitle="Invalid Percentage" error="Enter a percentage between 0% and 100% (as decimal 0-1)" promptTitle="Completeness %" prompt="Enter completeness as decimal (e.g. 0.92 for 92%)" sqref="F6:F18" xr:uid="{00000000-0002-0000-0700-000001000000}">
      <formula1>0</formula1>
      <formula2>1</formula2>
    </dataValidation>
    <dataValidation type="whole" operator="greaterThanOrEqual" allowBlank="1" errorTitle="Invalid Volume" error="Enter a positive whole number" sqref="E6:E18" xr:uid="{00000000-0002-0000-0700-000002000000}">
      <formula1>0</formula1>
      <formula2>0</formula2>
    </dataValidation>
  </dataValidation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E7490"/>
    <pageSetUpPr fitToPage="1"/>
  </sheetPr>
  <dimension ref="A2:H11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3" style="1" customWidth="1"/>
    <col min="2" max="2" width="48" style="1" customWidth="1"/>
    <col min="3" max="3" width="26" style="1" customWidth="1"/>
    <col min="4" max="4" width="28" style="1" customWidth="1"/>
    <col min="5" max="5" width="13" style="1" customWidth="1"/>
    <col min="6" max="6" width="36" style="1" customWidth="1"/>
    <col min="7" max="8" width="12" style="1" customWidth="1"/>
  </cols>
  <sheetData>
    <row r="2" spans="2:8" ht="30" customHeight="1" x14ac:dyDescent="0.3">
      <c r="B2" s="56" t="s">
        <v>237</v>
      </c>
      <c r="C2" s="56"/>
      <c r="D2" s="56"/>
      <c r="E2" s="56"/>
      <c r="F2" s="56"/>
      <c r="G2" s="56"/>
      <c r="H2" s="56"/>
    </row>
    <row r="3" spans="2:8" ht="15.75" customHeight="1" x14ac:dyDescent="0.3">
      <c r="B3" s="57" t="s">
        <v>238</v>
      </c>
      <c r="C3" s="57"/>
      <c r="D3" s="57"/>
      <c r="E3" s="57"/>
      <c r="F3" s="57"/>
      <c r="G3" s="57"/>
      <c r="H3" s="57"/>
    </row>
    <row r="5" spans="2:8" ht="25.5" customHeight="1" x14ac:dyDescent="0.3">
      <c r="B5" s="9"/>
      <c r="C5" s="9" t="s">
        <v>239</v>
      </c>
      <c r="D5" s="9" t="s">
        <v>240</v>
      </c>
      <c r="E5" s="9" t="s">
        <v>241</v>
      </c>
      <c r="F5" s="9" t="s">
        <v>242</v>
      </c>
      <c r="G5" s="9" t="s">
        <v>243</v>
      </c>
      <c r="H5" s="9" t="s">
        <v>244</v>
      </c>
    </row>
    <row r="6" spans="2:8" ht="27.75" customHeight="1" x14ac:dyDescent="0.3">
      <c r="B6" s="10">
        <v>1</v>
      </c>
      <c r="C6" s="11" t="s">
        <v>245</v>
      </c>
      <c r="D6" s="11" t="s">
        <v>246</v>
      </c>
      <c r="E6" s="11" t="s">
        <v>247</v>
      </c>
      <c r="F6" s="11" t="s">
        <v>248</v>
      </c>
      <c r="G6" s="11" t="s">
        <v>249</v>
      </c>
      <c r="H6" s="11"/>
    </row>
    <row r="7" spans="2:8" ht="27.75" customHeight="1" x14ac:dyDescent="0.3">
      <c r="B7" s="12">
        <v>2</v>
      </c>
      <c r="C7" s="13" t="s">
        <v>250</v>
      </c>
      <c r="D7" s="13" t="s">
        <v>251</v>
      </c>
      <c r="E7" s="13" t="s">
        <v>247</v>
      </c>
      <c r="F7" s="13" t="s">
        <v>252</v>
      </c>
      <c r="G7" s="13" t="s">
        <v>249</v>
      </c>
      <c r="H7" s="13"/>
    </row>
    <row r="8" spans="2:8" ht="27.75" customHeight="1" x14ac:dyDescent="0.3">
      <c r="B8" s="10">
        <v>3</v>
      </c>
      <c r="C8" s="11" t="s">
        <v>253</v>
      </c>
      <c r="D8" s="11" t="s">
        <v>254</v>
      </c>
      <c r="E8" s="11" t="s">
        <v>255</v>
      </c>
      <c r="F8" s="11" t="s">
        <v>256</v>
      </c>
      <c r="G8" s="11" t="s">
        <v>249</v>
      </c>
      <c r="H8" s="11"/>
    </row>
    <row r="9" spans="2:8" ht="27.75" customHeight="1" x14ac:dyDescent="0.3">
      <c r="B9" s="12">
        <v>4</v>
      </c>
      <c r="C9" s="13" t="s">
        <v>257</v>
      </c>
      <c r="D9" s="13" t="s">
        <v>258</v>
      </c>
      <c r="E9" s="13" t="s">
        <v>259</v>
      </c>
      <c r="F9" s="13" t="s">
        <v>260</v>
      </c>
      <c r="G9" s="13" t="s">
        <v>249</v>
      </c>
      <c r="H9" s="13"/>
    </row>
    <row r="10" spans="2:8" ht="27.75" customHeight="1" x14ac:dyDescent="0.3">
      <c r="B10" s="10">
        <v>5</v>
      </c>
      <c r="C10" s="11" t="s">
        <v>261</v>
      </c>
      <c r="D10" s="11" t="s">
        <v>262</v>
      </c>
      <c r="E10" s="11" t="s">
        <v>263</v>
      </c>
      <c r="F10" s="11" t="s">
        <v>264</v>
      </c>
      <c r="G10" s="11" t="s">
        <v>265</v>
      </c>
      <c r="H10" s="11"/>
    </row>
    <row r="11" spans="2:8" ht="27.75" customHeight="1" x14ac:dyDescent="0.3">
      <c r="B11" s="12">
        <v>6</v>
      </c>
      <c r="C11" s="13" t="s">
        <v>266</v>
      </c>
      <c r="D11" s="13" t="s">
        <v>267</v>
      </c>
      <c r="E11" s="13" t="s">
        <v>247</v>
      </c>
      <c r="F11" s="13" t="s">
        <v>268</v>
      </c>
      <c r="G11" s="13" t="s">
        <v>265</v>
      </c>
      <c r="H11" s="13"/>
    </row>
  </sheetData>
  <mergeCells count="2">
    <mergeCell ref="B2:H2"/>
    <mergeCell ref="B3:H3"/>
  </mergeCells>
  <dataValidations count="1">
    <dataValidation type="list" allowBlank="1" errorTitle="Invalid Value" error="Select ✓, Optional, or ✗" sqref="G6:G11" xr:uid="{00000000-0002-0000-0800-000000000000}">
      <formula1>"✓,Optional,✗"</formula1>
      <formula2>0</formula2>
    </dataValidation>
  </dataValidation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E7490"/>
    <pageSetUpPr fitToPage="1"/>
  </sheetPr>
  <dimension ref="A2:G16"/>
  <sheetViews>
    <sheetView showGridLines="0" zoomScaleNormal="100" workbookViewId="0">
      <pane ySplit="5" topLeftCell="A6" activePane="bottomLeft" state="frozen"/>
      <selection pane="bottomLeft" activeCell="E6" sqref="E6"/>
    </sheetView>
  </sheetViews>
  <sheetFormatPr defaultColWidth="8.6640625" defaultRowHeight="14.4" x14ac:dyDescent="0.3"/>
  <cols>
    <col min="1" max="1" width="3" style="1" customWidth="1"/>
    <col min="2" max="2" width="48" style="1" customWidth="1"/>
    <col min="3" max="3" width="12" style="1" customWidth="1"/>
    <col min="4" max="4" width="14" style="1" customWidth="1"/>
    <col min="5" max="5" width="12" style="1" customWidth="1"/>
    <col min="6" max="6" width="20" style="1" customWidth="1"/>
    <col min="7" max="7" width="12" style="1" customWidth="1"/>
  </cols>
  <sheetData>
    <row r="2" spans="2:7" ht="30" customHeight="1" x14ac:dyDescent="0.3">
      <c r="B2" s="56" t="s">
        <v>269</v>
      </c>
      <c r="C2" s="56"/>
      <c r="D2" s="56"/>
      <c r="E2" s="56"/>
      <c r="F2" s="56"/>
      <c r="G2" s="56"/>
    </row>
    <row r="3" spans="2:7" ht="15.75" customHeight="1" x14ac:dyDescent="0.3">
      <c r="B3" s="57" t="s">
        <v>270</v>
      </c>
      <c r="C3" s="57"/>
      <c r="D3" s="57"/>
      <c r="E3" s="57"/>
      <c r="F3" s="57"/>
      <c r="G3" s="57"/>
    </row>
    <row r="5" spans="2:7" ht="25.5" customHeight="1" x14ac:dyDescent="0.3">
      <c r="B5" s="9"/>
      <c r="C5" s="9" t="s">
        <v>271</v>
      </c>
      <c r="D5" s="9" t="s">
        <v>272</v>
      </c>
      <c r="E5" s="9" t="s">
        <v>185</v>
      </c>
      <c r="F5" s="9" t="s">
        <v>273</v>
      </c>
      <c r="G5" s="9" t="s">
        <v>274</v>
      </c>
    </row>
    <row r="6" spans="2:7" ht="27.75" customHeight="1" x14ac:dyDescent="0.3">
      <c r="B6" s="10"/>
      <c r="C6" s="27" t="s">
        <v>190</v>
      </c>
      <c r="D6" s="27">
        <v>95</v>
      </c>
      <c r="E6" s="27">
        <v>78</v>
      </c>
      <c r="F6" s="27">
        <v>55</v>
      </c>
      <c r="G6" s="27" t="s">
        <v>275</v>
      </c>
    </row>
    <row r="7" spans="2:7" ht="27.75" customHeight="1" x14ac:dyDescent="0.3">
      <c r="B7" s="12"/>
      <c r="C7" s="30" t="s">
        <v>192</v>
      </c>
      <c r="D7" s="30">
        <v>99.8</v>
      </c>
      <c r="E7" s="30">
        <v>97</v>
      </c>
      <c r="F7" s="30">
        <v>92</v>
      </c>
      <c r="G7" s="30" t="s">
        <v>275</v>
      </c>
    </row>
    <row r="8" spans="2:7" ht="27.75" customHeight="1" x14ac:dyDescent="0.3">
      <c r="B8" s="10"/>
      <c r="C8" s="27" t="s">
        <v>194</v>
      </c>
      <c r="D8" s="27">
        <v>1</v>
      </c>
      <c r="E8" s="27">
        <v>4</v>
      </c>
      <c r="F8" s="27">
        <v>12</v>
      </c>
      <c r="G8" s="27" t="s">
        <v>275</v>
      </c>
    </row>
    <row r="9" spans="2:7" ht="27.75" customHeight="1" x14ac:dyDescent="0.3">
      <c r="B9" s="12"/>
      <c r="C9" s="30" t="s">
        <v>196</v>
      </c>
      <c r="D9" s="30">
        <v>3</v>
      </c>
      <c r="E9" s="30">
        <v>8</v>
      </c>
      <c r="F9" s="30">
        <v>20</v>
      </c>
      <c r="G9" s="30" t="s">
        <v>275</v>
      </c>
    </row>
    <row r="10" spans="2:7" ht="27.75" customHeight="1" x14ac:dyDescent="0.3">
      <c r="B10" s="10"/>
      <c r="C10" s="27" t="s">
        <v>198</v>
      </c>
      <c r="D10" s="27">
        <v>0.18</v>
      </c>
      <c r="E10" s="27">
        <v>0.35</v>
      </c>
      <c r="F10" s="27">
        <v>0.75</v>
      </c>
      <c r="G10" s="27" t="s">
        <v>276</v>
      </c>
    </row>
    <row r="11" spans="2:7" ht="27.75" customHeight="1" x14ac:dyDescent="0.3">
      <c r="B11" s="12"/>
      <c r="C11" s="30" t="s">
        <v>200</v>
      </c>
      <c r="D11" s="30">
        <v>1.5</v>
      </c>
      <c r="E11" s="30">
        <v>3.2</v>
      </c>
      <c r="F11" s="30">
        <v>6.8</v>
      </c>
      <c r="G11" s="30" t="s">
        <v>276</v>
      </c>
    </row>
    <row r="12" spans="2:7" ht="27.75" customHeight="1" x14ac:dyDescent="0.3">
      <c r="B12" s="10"/>
      <c r="C12" s="27" t="s">
        <v>202</v>
      </c>
      <c r="D12" s="27">
        <v>2</v>
      </c>
      <c r="E12" s="27">
        <v>6</v>
      </c>
      <c r="F12" s="27">
        <v>24</v>
      </c>
      <c r="G12" s="27" t="s">
        <v>276</v>
      </c>
    </row>
    <row r="13" spans="2:7" ht="27.75" customHeight="1" x14ac:dyDescent="0.3">
      <c r="B13" s="12"/>
      <c r="C13" s="30" t="s">
        <v>204</v>
      </c>
      <c r="D13" s="30">
        <v>1</v>
      </c>
      <c r="E13" s="30">
        <v>3</v>
      </c>
      <c r="F13" s="30">
        <v>8</v>
      </c>
      <c r="G13" s="30" t="s">
        <v>275</v>
      </c>
    </row>
    <row r="14" spans="2:7" ht="27.75" customHeight="1" x14ac:dyDescent="0.3">
      <c r="B14" s="10"/>
      <c r="C14" s="27" t="s">
        <v>206</v>
      </c>
      <c r="D14" s="27">
        <v>92</v>
      </c>
      <c r="E14" s="27">
        <v>72</v>
      </c>
      <c r="F14" s="27">
        <v>50</v>
      </c>
      <c r="G14" s="27" t="s">
        <v>275</v>
      </c>
    </row>
    <row r="15" spans="2:7" ht="27.75" customHeight="1" x14ac:dyDescent="0.3">
      <c r="B15" s="12"/>
      <c r="C15" s="30" t="s">
        <v>208</v>
      </c>
      <c r="D15" s="30">
        <v>0.8</v>
      </c>
      <c r="E15" s="30">
        <v>1.5</v>
      </c>
      <c r="F15" s="30">
        <v>3.5</v>
      </c>
      <c r="G15" s="30" t="s">
        <v>276</v>
      </c>
    </row>
    <row r="16" spans="2:7" ht="27.75" customHeight="1" x14ac:dyDescent="0.3">
      <c r="B16" s="10"/>
      <c r="C16" s="27" t="s">
        <v>211</v>
      </c>
      <c r="D16" s="27">
        <v>1</v>
      </c>
      <c r="E16" s="27">
        <v>3</v>
      </c>
      <c r="F16" s="27">
        <v>6</v>
      </c>
      <c r="G16" s="27" t="s">
        <v>275</v>
      </c>
    </row>
  </sheetData>
  <mergeCells count="2">
    <mergeCell ref="B2:G2"/>
    <mergeCell ref="B3:G3"/>
  </mergeCells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6"/>
  <sheetViews>
    <sheetView zoomScaleNormal="100" workbookViewId="0"/>
  </sheetViews>
  <sheetFormatPr defaultColWidth="8.6640625" defaultRowHeight="14.4" x14ac:dyDescent="0.3"/>
  <sheetData>
    <row r="1" spans="1:4" ht="15" customHeight="1" x14ac:dyDescent="0.3">
      <c r="A1" s="1" t="s">
        <v>277</v>
      </c>
      <c r="B1" s="1" t="s">
        <v>278</v>
      </c>
      <c r="C1" s="1" t="s">
        <v>279</v>
      </c>
      <c r="D1" s="1" t="s">
        <v>280</v>
      </c>
    </row>
    <row r="2" spans="1:4" ht="15" customHeight="1" x14ac:dyDescent="0.3">
      <c r="A2" s="1" t="s">
        <v>281</v>
      </c>
      <c r="B2" s="1" t="s">
        <v>282</v>
      </c>
      <c r="C2" s="1" t="s">
        <v>283</v>
      </c>
      <c r="D2" s="1" t="s">
        <v>284</v>
      </c>
    </row>
    <row r="3" spans="1:4" ht="15" customHeight="1" x14ac:dyDescent="0.3">
      <c r="A3" s="1" t="s">
        <v>285</v>
      </c>
      <c r="B3" s="1" t="s">
        <v>286</v>
      </c>
      <c r="C3" s="1" t="s">
        <v>287</v>
      </c>
      <c r="D3" s="1" t="s">
        <v>288</v>
      </c>
    </row>
    <row r="4" spans="1:4" ht="15" customHeight="1" x14ac:dyDescent="0.3">
      <c r="A4" s="1" t="s">
        <v>289</v>
      </c>
      <c r="B4" s="1" t="s">
        <v>290</v>
      </c>
      <c r="C4" s="1" t="s">
        <v>291</v>
      </c>
      <c r="D4" s="1" t="s">
        <v>292</v>
      </c>
    </row>
    <row r="5" spans="1:4" ht="15" customHeight="1" x14ac:dyDescent="0.3">
      <c r="A5" s="1" t="s">
        <v>293</v>
      </c>
      <c r="B5" s="1" t="s">
        <v>294</v>
      </c>
      <c r="C5" s="1" t="s">
        <v>295</v>
      </c>
    </row>
    <row r="6" spans="1:4" ht="15" customHeight="1" x14ac:dyDescent="0.3">
      <c r="A6" s="1" t="s">
        <v>296</v>
      </c>
      <c r="B6" s="1" t="s">
        <v>297</v>
      </c>
      <c r="C6" s="1" t="s">
        <v>298</v>
      </c>
    </row>
  </sheetData>
  <printOptions horizontalCentered="1"/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Instructions</vt:lpstr>
      <vt:lpstr>SIPOC</vt:lpstr>
      <vt:lpstr>RACI Matrix</vt:lpstr>
      <vt:lpstr>SOP — Auto-Match</vt:lpstr>
      <vt:lpstr>SOP — Exception Handling</vt:lpstr>
      <vt:lpstr>KPI Scorecard</vt:lpstr>
      <vt:lpstr>Data Quality Tracker</vt:lpstr>
      <vt:lpstr>System Config</vt:lpstr>
      <vt:lpstr>Benchmarks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Nazim Boukhouf</cp:lastModifiedBy>
  <cp:revision>0</cp:revision>
  <dcterms:created xsi:type="dcterms:W3CDTF">2026-05-26T06:45:01Z</dcterms:created>
  <dcterms:modified xsi:type="dcterms:W3CDTF">2026-05-26T08:23:49Z</dcterms:modified>
  <dc:language>en-US</dc:language>
</cp:coreProperties>
</file>