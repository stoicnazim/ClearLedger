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Instructions" sheetId="2" state="visible" r:id="rId4"/>
    <sheet name="Scope Definition" sheetId="3" state="visible" r:id="rId5"/>
    <sheet name="Provider Landscape" sheetId="4" state="visible" r:id="rId6"/>
    <sheet name="Provider Scorecard" sheetId="5" state="visible" r:id="rId7"/>
    <sheet name="Pricing Models" sheetId="6" state="visible" r:id="rId8"/>
    <sheet name="Cost Comparison" sheetId="7" state="visible" r:id="rId9"/>
    <sheet name="SLA Framework" sheetId="8" state="visible" r:id="rId10"/>
    <sheet name="Transition Plan" sheetId="9" state="visible" r:id="rId11"/>
    <sheet name="Risk Register" sheetId="10" state="visible" r:id="rId12"/>
    <sheet name="Governance" sheetId="11" state="visible" r:id="rId13"/>
    <sheet name="Retained Org" sheetId="12" state="visible" r:id="rId14"/>
    <sheet name="Contract Checklist" sheetId="13" state="visible" r:id="rId15"/>
    <sheet name="Benchmarks" sheetId="14" state="visible" r:id="rId16"/>
    <sheet name="Example Data" sheetId="15" state="visible" r:id="rId17"/>
    <sheet name="Calculations" sheetId="16" state="hidden" r:id="rId18"/>
    <sheet name="Dropdowns" sheetId="17" state="hidden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<sst xmlns="http://schemas.openxmlformats.org/spreadsheetml/2006/main" count="1058" uniqueCount="879">
  <si>
    <t xml:space="preserve">ClearLedger Advisory</t>
  </si>
  <si>
    <t xml:space="preserve">OtC Managed Services</t>
  </si>
  <si>
    <t xml:space="preserve">BPO / SSC / GBS Evaluation</t>
  </si>
  <si>
    <t xml:space="preserve">Toolkit 3.6 — Strategic Value Series</t>
  </si>
  <si>
    <t xml:space="preserve">Scope Definition · Provider Scoring · Pricing Analysis · SLA Design · Transition Planning · Governance</t>
  </si>
  <si>
    <t xml:space="preserve">Prepared for:</t>
  </si>
  <si>
    <t xml:space="preserve">Prepared by:</t>
  </si>
  <si>
    <t xml:space="preserve">[Client Name]</t>
  </si>
  <si>
    <t xml:space="preserve">[Consultant Name]</t>
  </si>
  <si>
    <t xml:space="preserve">Date:</t>
  </si>
  <si>
    <t xml:space="preserve">Version:</t>
  </si>
  <si>
    <t xml:space="preserve">[Date]</t>
  </si>
  <si>
    <t xml:space="preserve">This workbook provides a comprehensive framework for evaluating managed services, BPO, SSC, and GBS options for Order-to-Cash operations. It covers scope definition, provider assessment, pricing model analysis, SLA design, transition planning, risk management, and retained organization design. All blue-text cells are editable inputs.</t>
  </si>
  <si>
    <t xml:space="preserve">CONTENTS</t>
  </si>
  <si>
    <t xml:space="preserve">Scope Definition</t>
  </si>
  <si>
    <t xml:space="preserve">Process scope, delivery model, geography, volume sizing</t>
  </si>
  <si>
    <t xml:space="preserve">Provider Landscape</t>
  </si>
  <si>
    <t xml:space="preserve">12 global/regional providers profiled with OtC capabilities</t>
  </si>
  <si>
    <t xml:space="preserve">Provider Scorecard</t>
  </si>
  <si>
    <t xml:space="preserve">Weighted evaluation: Functional, Technical, Viability, Commercial</t>
  </si>
  <si>
    <t xml:space="preserve">Pricing Models</t>
  </si>
  <si>
    <t xml:space="preserve">FTE-based, Transaction, Outcome, Hybrid — comparison &amp; calculator</t>
  </si>
  <si>
    <t xml:space="preserve">Cost Comparison</t>
  </si>
  <si>
    <t xml:space="preserve">In-house vs outsourced total cost of ownership over 5 years</t>
  </si>
  <si>
    <t xml:space="preserve">SLA Framework</t>
  </si>
  <si>
    <t xml:space="preserve">17 SLA metrics across 4 categories with targets &amp; penalties</t>
  </si>
  <si>
    <t xml:space="preserve">Transition Plan</t>
  </si>
  <si>
    <t xml:space="preserve">6-phase roadmap from due diligence through steady state</t>
  </si>
  <si>
    <t xml:space="preserve">Risk Register</t>
  </si>
  <si>
    <t xml:space="preserve">12 risks scored with mitigation strategies and owners</t>
  </si>
  <si>
    <t xml:space="preserve">Governance</t>
  </si>
  <si>
    <t xml:space="preserve">3-tier governance model with cadence and escalation paths</t>
  </si>
  <si>
    <t xml:space="preserve">Retained Org</t>
  </si>
  <si>
    <t xml:space="preserve">Minimum viable team design with roles, FTEs, and RACI</t>
  </si>
  <si>
    <t xml:space="preserve">Contract Checklist</t>
  </si>
  <si>
    <t xml:space="preserve">48-point contract review covering all commercial &amp; legal terms</t>
  </si>
  <si>
    <t xml:space="preserve">ClearLedger Advisory · Toolkit 3.6 · APQC PCF v7.4: 8.3 / 11.5 Manage Outsourcing</t>
  </si>
  <si>
    <t xml:space="preserve">INSTRUCTIONS</t>
  </si>
  <si>
    <t xml:space="preserve">Step 1</t>
  </si>
  <si>
    <t xml:space="preserve">Define which OtC processes are in scope, the delivery model (BPO/SSC/GBS/Hybrid), geography, and volume. This drives everything downstream.</t>
  </si>
  <si>
    <t xml:space="preserve">Step 2</t>
  </si>
  <si>
    <t xml:space="preserve">Provider Assessment</t>
  </si>
  <si>
    <t xml:space="preserve">Use the Provider Landscape for initial longlist, then score your shortlist (up to 5 vendors) on the Provider Scorecard. Weights are adjustable.</t>
  </si>
  <si>
    <t xml:space="preserve">Step 3</t>
  </si>
  <si>
    <t xml:space="preserve">Pricing Analysis</t>
  </si>
  <si>
    <t xml:space="preserve">Model pricing under each pricing structure on the Pricing Models tab. Use the Cost Comparison tab to build the 5-year in-house vs outsourced TCO.</t>
  </si>
  <si>
    <t xml:space="preserve">Step 4</t>
  </si>
  <si>
    <t xml:space="preserve">SLA Design</t>
  </si>
  <si>
    <t xml:space="preserve">Define your SLA targets using the SLA Framework. Benchmarks tab provides industry reference points. Adjust penalty/incentive structures.</t>
  </si>
  <si>
    <t xml:space="preserve">Step 5</t>
  </si>
  <si>
    <t xml:space="preserve">Transition &amp; Risk</t>
  </si>
  <si>
    <t xml:space="preserve">Map out the transition phases on the Transition Plan tab. Populate the Risk Register with project-specific risks.</t>
  </si>
  <si>
    <t xml:space="preserve">Step 6</t>
  </si>
  <si>
    <t xml:space="preserve">Governance &amp; Org</t>
  </si>
  <si>
    <t xml:space="preserve">Design the governance model and retained organization. Use the Contract Checklist before signing.</t>
  </si>
  <si>
    <t xml:space="preserve">CROSS-REFERENCES TO OTHER TOOLKIT DELIVERABLES</t>
  </si>
  <si>
    <t xml:space="preserve">1.1 Process Taxonomy</t>
  </si>
  <si>
    <t xml:space="preserve">OtC process scope definitions for scope mapping</t>
  </si>
  <si>
    <t xml:space="preserve">1.5 KPI Dashboard</t>
  </si>
  <si>
    <t xml:space="preserve">Current-state KPI baselines for SLA target-setting</t>
  </si>
  <si>
    <t xml:space="preserve">1.6 Maturity Assessment</t>
  </si>
  <si>
    <t xml:space="preserve">Maturity tier to determine outsourcing readiness</t>
  </si>
  <si>
    <t xml:space="preserve">2.3 Billing &amp; Invoicing</t>
  </si>
  <si>
    <t xml:space="preserve">Invoice processing volumes and cost benchmarks</t>
  </si>
  <si>
    <t xml:space="preserve">2.6 SSC Transition</t>
  </si>
  <si>
    <t xml:space="preserve">Shared services transition framework and lessons learned</t>
  </si>
  <si>
    <t xml:space="preserve">3.3 Treasury &amp; WC</t>
  </si>
  <si>
    <t xml:space="preserve">Working capital impact of outsourcing decisions</t>
  </si>
  <si>
    <t xml:space="preserve">3.4 Tech Selection</t>
  </si>
  <si>
    <t xml:space="preserve">Technology landscape for retained vs transferred stack</t>
  </si>
  <si>
    <t xml:space="preserve">3.5 Business Case Builder</t>
  </si>
  <si>
    <t xml:space="preserve">ROI model for outsourcing business case</t>
  </si>
  <si>
    <t xml:space="preserve">SCOPE DEFINITION</t>
  </si>
  <si>
    <t xml:space="preserve">◆  Engagement Overview</t>
  </si>
  <si>
    <t xml:space="preserve">Delivery Model</t>
  </si>
  <si>
    <t xml:space="preserve">BPO</t>
  </si>
  <si>
    <t xml:space="preserve">BPO / SSC / GBS / Hybrid / Co-Managed</t>
  </si>
  <si>
    <t xml:space="preserve">Engagement Type</t>
  </si>
  <si>
    <t xml:space="preserve">Full Outsource</t>
  </si>
  <si>
    <t xml:space="preserve">Full / Selective / Lift-and-Shift / Transform-and-Transfer</t>
  </si>
  <si>
    <t xml:space="preserve">Primary Geography</t>
  </si>
  <si>
    <t xml:space="preserve">Europe</t>
  </si>
  <si>
    <t xml:space="preserve">Where processes will be performed</t>
  </si>
  <si>
    <t xml:space="preserve">Nearshore/Offshore Location</t>
  </si>
  <si>
    <t xml:space="preserve">e.g. Poland, India, Philippines, Costa Rica</t>
  </si>
  <si>
    <t xml:space="preserve">Target Go-Live Date</t>
  </si>
  <si>
    <t xml:space="preserve">Month/Year</t>
  </si>
  <si>
    <t xml:space="preserve">Contract Duration</t>
  </si>
  <si>
    <t xml:space="preserve">Years (typical 3-7)</t>
  </si>
  <si>
    <t xml:space="preserve">Estimated Annual Revenue in Scope</t>
  </si>
  <si>
    <t xml:space="preserve">€ — drives volume sizing</t>
  </si>
  <si>
    <t xml:space="preserve">◎  Process Scope Matrix</t>
  </si>
  <si>
    <t xml:space="preserve">OtC Sub-Process</t>
  </si>
  <si>
    <t xml:space="preserve">In/Out Scope</t>
  </si>
  <si>
    <t xml:space="preserve">Current Volume</t>
  </si>
  <si>
    <t xml:space="preserve">Current FTEs</t>
  </si>
  <si>
    <t xml:space="preserve">Transfer?</t>
  </si>
  <si>
    <t xml:space="preserve">Priority</t>
  </si>
  <si>
    <t xml:space="preserve">Notes</t>
  </si>
  <si>
    <t xml:space="preserve">Credit Assessment &amp; Onboarding</t>
  </si>
  <si>
    <t xml:space="preserve">In Scope</t>
  </si>
  <si>
    <t xml:space="preserve">200/mo</t>
  </si>
  <si>
    <t xml:space="preserve">Yes</t>
  </si>
  <si>
    <t xml:space="preserve">High</t>
  </si>
  <si>
    <t xml:space="preserve">Sales Order Processing</t>
  </si>
  <si>
    <t xml:space="preserve">8,500/mo</t>
  </si>
  <si>
    <t xml:space="preserve">Billing &amp; Invoice Generation</t>
  </si>
  <si>
    <t xml:space="preserve">Cash Application</t>
  </si>
  <si>
    <t xml:space="preserve">7,200/mo</t>
  </si>
  <si>
    <t xml:space="preserve">Collections Management</t>
  </si>
  <si>
    <t xml:space="preserve">1,800/mo</t>
  </si>
  <si>
    <t xml:space="preserve">Dispute &amp; Deduction Management</t>
  </si>
  <si>
    <t xml:space="preserve">450/mo</t>
  </si>
  <si>
    <t xml:space="preserve">Medium</t>
  </si>
  <si>
    <t xml:space="preserve">AR Reporting &amp; Analytics</t>
  </si>
  <si>
    <t xml:space="preserve">Out of Scope</t>
  </si>
  <si>
    <t xml:space="preserve">Weekly</t>
  </si>
  <si>
    <t xml:space="preserve">No</t>
  </si>
  <si>
    <t xml:space="preserve">Low</t>
  </si>
  <si>
    <t xml:space="preserve">Credit Risk Monitoring</t>
  </si>
  <si>
    <t xml:space="preserve">Continuous</t>
  </si>
  <si>
    <t xml:space="preserve">Treasury &amp; Cash Forecasting</t>
  </si>
  <si>
    <t xml:space="preserve">Daily</t>
  </si>
  <si>
    <t xml:space="preserve">N/A</t>
  </si>
  <si>
    <t xml:space="preserve">Master Data Management</t>
  </si>
  <si>
    <t xml:space="preserve">Evaluate</t>
  </si>
  <si>
    <t xml:space="preserve">Ad hoc</t>
  </si>
  <si>
    <t xml:space="preserve">TBD</t>
  </si>
  <si>
    <t xml:space="preserve">E-Invoicing &amp; Compliance</t>
  </si>
  <si>
    <t xml:space="preserve">Varies</t>
  </si>
  <si>
    <t xml:space="preserve">Customer Portal Management</t>
  </si>
  <si>
    <t xml:space="preserve">TOTAL IN-SCOPE</t>
  </si>
  <si>
    <t xml:space="preserve">◎  Volume &amp; Complexity Profile</t>
  </si>
  <si>
    <t xml:space="preserve">Total Monthly Invoices</t>
  </si>
  <si>
    <t xml:space="preserve">All invoice types combined</t>
  </si>
  <si>
    <t xml:space="preserve">Avg Invoice Value (€)</t>
  </si>
  <si>
    <t xml:space="preserve">Helps determine transaction pricing</t>
  </si>
  <si>
    <t xml:space="preserve">Number of Customers</t>
  </si>
  <si>
    <t xml:space="preserve">Active customer count</t>
  </si>
  <si>
    <t xml:space="preserve">Number of Entities/Legal Units</t>
  </si>
  <si>
    <t xml:space="preserve">Multi-entity complexity</t>
  </si>
  <si>
    <t xml:space="preserve">Number of ERP Instances</t>
  </si>
  <si>
    <t xml:space="preserve">System landscape complexity</t>
  </si>
  <si>
    <t xml:space="preserve">Number of Currencies</t>
  </si>
  <si>
    <t xml:space="preserve">FX complexity</t>
  </si>
  <si>
    <t xml:space="preserve">Number of Countries Invoiced</t>
  </si>
  <si>
    <t xml:space="preserve">Regulatory/tax complexity</t>
  </si>
  <si>
    <t xml:space="preserve">Current Dispute Rate (%)</t>
  </si>
  <si>
    <t xml:space="preserve">Drives dispute handling FTE need</t>
  </si>
  <si>
    <t xml:space="preserve">E-Invoice Mandate Coverage (%)</t>
  </si>
  <si>
    <t xml:space="preserve">% of volume under e-invoice mandates</t>
  </si>
  <si>
    <t xml:space="preserve">PROVIDER LANDSCAPE — OtC Capabilities</t>
  </si>
  <si>
    <t xml:space="preserve">Provider</t>
  </si>
  <si>
    <t xml:space="preserve">HQ</t>
  </si>
  <si>
    <t xml:space="preserve">Scale</t>
  </si>
  <si>
    <t xml:space="preserve">OtC Strength</t>
  </si>
  <si>
    <t xml:space="preserve">Delivery Locations</t>
  </si>
  <si>
    <t xml:space="preserve">Pricing Model</t>
  </si>
  <si>
    <t xml:space="preserve">Shortlist?</t>
  </si>
  <si>
    <t xml:space="preserve">Genpact</t>
  </si>
  <si>
    <t xml:space="preserve">US/India</t>
  </si>
  <si>
    <t xml:space="preserve">220K+ employees</t>
  </si>
  <si>
    <t xml:space="preserve">Digital OtC, AI-powered cash app, dispute analytics</t>
  </si>
  <si>
    <t xml:space="preserve">India, Philippines, Romania, Mexico, Costa Rica</t>
  </si>
  <si>
    <t xml:space="preserve">Transaction + Outcome</t>
  </si>
  <si>
    <t xml:space="preserve">WNS</t>
  </si>
  <si>
    <t xml:space="preserve">India/US</t>
  </si>
  <si>
    <t xml:space="preserve">65K+ employees</t>
  </si>
  <si>
    <t xml:space="preserve">AR automation, industry-specific OtC (insurance, retail)</t>
  </si>
  <si>
    <t xml:space="preserve">India, Sri Lanka, Philippines, South Africa, Romania</t>
  </si>
  <si>
    <t xml:space="preserve">FTE + Transaction</t>
  </si>
  <si>
    <t xml:space="preserve">Cognizant</t>
  </si>
  <si>
    <t xml:space="preserve">350K+ employees</t>
  </si>
  <si>
    <t xml:space="preserve">E2E F&amp;A including OtC, strong ERP integration</t>
  </si>
  <si>
    <t xml:space="preserve">India, Philippines, Poland, Hungary</t>
  </si>
  <si>
    <t xml:space="preserve">FTE + Hybrid</t>
  </si>
  <si>
    <t xml:space="preserve">Accenture</t>
  </si>
  <si>
    <t xml:space="preserve">Ireland/US</t>
  </si>
  <si>
    <t xml:space="preserve">740K+ employees</t>
  </si>
  <si>
    <t xml:space="preserve">Transform-and-run OtC, Salesforce/SAP integration</t>
  </si>
  <si>
    <t xml:space="preserve">India, Philippines, Czech Republic, Costa Rica, Argentina</t>
  </si>
  <si>
    <t xml:space="preserve">Outcome + Hybrid</t>
  </si>
  <si>
    <t xml:space="preserve">Infosys BPM</t>
  </si>
  <si>
    <t xml:space="preserve">India</t>
  </si>
  <si>
    <t xml:space="preserve">60K+ employees</t>
  </si>
  <si>
    <t xml:space="preserve">AR automation, e-invoicing, process mining</t>
  </si>
  <si>
    <t xml:space="preserve">India, Poland, Czech Republic, Philippines</t>
  </si>
  <si>
    <t xml:space="preserve">Transaction + FTE</t>
  </si>
  <si>
    <t xml:space="preserve">TCS (Tata)</t>
  </si>
  <si>
    <t xml:space="preserve">600K+ employees</t>
  </si>
  <si>
    <t xml:space="preserve">Large-scale OtC operations, SAP-native</t>
  </si>
  <si>
    <t xml:space="preserve">India, Hungary, Philippines, Latin America</t>
  </si>
  <si>
    <t xml:space="preserve">FTE-based</t>
  </si>
  <si>
    <t xml:space="preserve">Wipro</t>
  </si>
  <si>
    <t xml:space="preserve">250K+ employees</t>
  </si>
  <si>
    <t xml:space="preserve">AI-led collections, integrated OtC platform</t>
  </si>
  <si>
    <t xml:space="preserve">India, Romania, Philippines, Colombia</t>
  </si>
  <si>
    <t xml:space="preserve">EXL Service</t>
  </si>
  <si>
    <t xml:space="preserve">55K+ employees</t>
  </si>
  <si>
    <t xml:space="preserve">Analytics-driven OtC, insurance &amp; healthcare focus</t>
  </si>
  <si>
    <t xml:space="preserve">India, Philippines, Colombia, Czech Republic</t>
  </si>
  <si>
    <t xml:space="preserve">Capgemini</t>
  </si>
  <si>
    <t xml:space="preserve">France</t>
  </si>
  <si>
    <t xml:space="preserve">360K+ employees</t>
  </si>
  <si>
    <t xml:space="preserve">European F&amp;A leader, multi-lingual OtC</t>
  </si>
  <si>
    <t xml:space="preserve">India, Poland, Guatemala, Philippines</t>
  </si>
  <si>
    <t xml:space="preserve">DXC Technology</t>
  </si>
  <si>
    <t xml:space="preserve">US</t>
  </si>
  <si>
    <t xml:space="preserve">130K+ employees</t>
  </si>
  <si>
    <t xml:space="preserve">IT + BPO convergence, SAP-centric OtC</t>
  </si>
  <si>
    <t xml:space="preserve">India, Philippines, Bulgaria, Romania</t>
  </si>
  <si>
    <t xml:space="preserve">Conduent</t>
  </si>
  <si>
    <t xml:space="preserve">Transaction processing, healthcare &amp; gov focus</t>
  </si>
  <si>
    <t xml:space="preserve">India, Philippines, Mexico</t>
  </si>
  <si>
    <t xml:space="preserve">Transaction-based</t>
  </si>
  <si>
    <t xml:space="preserve">TMF Group</t>
  </si>
  <si>
    <t xml:space="preserve">Netherlands</t>
  </si>
  <si>
    <t xml:space="preserve">11K+ employees</t>
  </si>
  <si>
    <t xml:space="preserve">Multi-jurisdictional compliance, European OtC niche</t>
  </si>
  <si>
    <t xml:space="preserve">80+ countries — local compliance focus</t>
  </si>
  <si>
    <t xml:space="preserve">FTE + Retainer</t>
  </si>
  <si>
    <t xml:space="preserve">Mark 'Yes' in the Shortlist column for providers to evaluate on the Provider Scorecard. Aim for 3-5 providers in final evaluation.</t>
  </si>
  <si>
    <t xml:space="preserve">PROVIDER SCORECARD — Weighted Evaluation</t>
  </si>
  <si>
    <t xml:space="preserve">Vendor Names</t>
  </si>
  <si>
    <t xml:space="preserve">Weight</t>
  </si>
  <si>
    <t xml:space="preserve">Vendor 1</t>
  </si>
  <si>
    <t xml:space="preserve">Vendor 2</t>
  </si>
  <si>
    <t xml:space="preserve">Vendor 3</t>
  </si>
  <si>
    <t xml:space="preserve">Vendor 4</t>
  </si>
  <si>
    <t xml:space="preserve">Vendor 5</t>
  </si>
  <si>
    <t xml:space="preserve">Score each criterion 0-5 (0=Not Offered, 5=Best in Class)</t>
  </si>
  <si>
    <t xml:space="preserve">FUNCTIONAL CAPABILITIES</t>
  </si>
  <si>
    <t xml:space="preserve">  OtC process breadth (credit→cash)</t>
  </si>
  <si>
    <t xml:space="preserve">  Industry / vertical experience</t>
  </si>
  <si>
    <t xml:space="preserve">  Multi-entity / multi-currency support</t>
  </si>
  <si>
    <t xml:space="preserve">  E-invoicing &amp; regulatory compliance</t>
  </si>
  <si>
    <t xml:space="preserve">  Analytics &amp; reporting capabilities</t>
  </si>
  <si>
    <t xml:space="preserve">  Continuous improvement methodology</t>
  </si>
  <si>
    <t xml:space="preserve">  Language &amp; timezone coverage</t>
  </si>
  <si>
    <t xml:space="preserve">  FUNCTIONAL CAPABILITIES Score</t>
  </si>
  <si>
    <t xml:space="preserve">TECHNOLOGY &amp; INNOVATION</t>
  </si>
  <si>
    <t xml:space="preserve">  Automation &amp; AI/ML maturity</t>
  </si>
  <si>
    <t xml:space="preserve">  ERP integration depth (SAP, Oracle, D365)</t>
  </si>
  <si>
    <t xml:space="preserve">  Proprietary platform / tech stack</t>
  </si>
  <si>
    <t xml:space="preserve">  Data security &amp; compliance certifications</t>
  </si>
  <si>
    <t xml:space="preserve">  Process mining / digital twin capability</t>
  </si>
  <si>
    <t xml:space="preserve">  TECHNOLOGY &amp; INNOVATION Score</t>
  </si>
  <si>
    <t xml:space="preserve">VENDOR VIABILITY</t>
  </si>
  <si>
    <t xml:space="preserve">  Financial stability &amp; growth trajectory</t>
  </si>
  <si>
    <t xml:space="preserve">  Client references in comparable scope</t>
  </si>
  <si>
    <t xml:space="preserve">  Transition &amp; implementation track record</t>
  </si>
  <si>
    <t xml:space="preserve">  Employee retention &amp; talent pipeline</t>
  </si>
  <si>
    <t xml:space="preserve">  VENDOR VIABILITY Score</t>
  </si>
  <si>
    <t xml:space="preserve">COMMERCIAL</t>
  </si>
  <si>
    <t xml:space="preserve">  Pricing competitiveness</t>
  </si>
  <si>
    <t xml:space="preserve">  Pricing model flexibility</t>
  </si>
  <si>
    <t xml:space="preserve">  Contractual flexibility (term, exit)</t>
  </si>
  <si>
    <t xml:space="preserve">  Gain-share / outcome-based willingness</t>
  </si>
  <si>
    <t xml:space="preserve">  COMMERCIAL Score</t>
  </si>
  <si>
    <t xml:space="preserve">TOTAL WEIGHTED SCORE</t>
  </si>
  <si>
    <t xml:space="preserve">100%</t>
  </si>
  <si>
    <t xml:space="preserve">PERCENTAGE SCORE</t>
  </si>
  <si>
    <t xml:space="preserve">RANKING</t>
  </si>
  <si>
    <t xml:space="preserve">PRICING MODELS — Comparison &amp; Analysis</t>
  </si>
  <si>
    <t xml:space="preserve">Dimension</t>
  </si>
  <si>
    <t xml:space="preserve">FTE-Based</t>
  </si>
  <si>
    <t xml:space="preserve">Transaction-Based</t>
  </si>
  <si>
    <t xml:space="preserve">Outcome-Based</t>
  </si>
  <si>
    <t xml:space="preserve">Hybrid</t>
  </si>
  <si>
    <t xml:space="preserve">How it works</t>
  </si>
  <si>
    <t xml:space="preserve">Pay per dedicated headcount</t>
  </si>
  <si>
    <t xml:space="preserve">Pay per unit processed</t>
  </si>
  <si>
    <t xml:space="preserve">Pay for results achieved</t>
  </si>
  <si>
    <t xml:space="preserve">Blend of FTE + transaction + outcome</t>
  </si>
  <si>
    <t xml:space="preserve">Typical range</t>
  </si>
  <si>
    <t xml:space="preserve">€1,800-4,500/FTE/mo</t>
  </si>
  <si>
    <t xml:space="preserve">€0.50-8.00/transaction</t>
  </si>
  <si>
    <t xml:space="preserve">Gain-share 15-30% of savings</t>
  </si>
  <si>
    <t xml:space="preserve">Base FTE + transaction uplift</t>
  </si>
  <si>
    <t xml:space="preserve">Volume risk</t>
  </si>
  <si>
    <t xml:space="preserve">Client bears volume risk</t>
  </si>
  <si>
    <t xml:space="preserve">Provider bears volume risk</t>
  </si>
  <si>
    <t xml:space="preserve">Shared risk</t>
  </si>
  <si>
    <t xml:space="preserve">Balanced — partial transfer</t>
  </si>
  <si>
    <t xml:space="preserve">Cost predictability</t>
  </si>
  <si>
    <t xml:space="preserve">High — fixed monthly</t>
  </si>
  <si>
    <t xml:space="preserve">Variable — tracks volume</t>
  </si>
  <si>
    <t xml:space="preserve">Variable — tracks outcomes</t>
  </si>
  <si>
    <t xml:space="preserve">Moderate — floor + variable</t>
  </si>
  <si>
    <t xml:space="preserve">Best for</t>
  </si>
  <si>
    <t xml:space="preserve">Stable, predictable volumes</t>
  </si>
  <si>
    <t xml:space="preserve">Seasonal / fluctuating volumes</t>
  </si>
  <si>
    <t xml:space="preserve">Transformation engagements</t>
  </si>
  <si>
    <t xml:space="preserve">Complex, multi-process scope</t>
  </si>
  <si>
    <t xml:space="preserve">Worst for</t>
  </si>
  <si>
    <t xml:space="preserve">Highly variable workloads</t>
  </si>
  <si>
    <t xml:space="preserve">Stable, high-volume ops</t>
  </si>
  <si>
    <t xml:space="preserve">Steady-state operations</t>
  </si>
  <si>
    <t xml:space="preserve">Simple, single-process scope</t>
  </si>
  <si>
    <t xml:space="preserve">Provider margin</t>
  </si>
  <si>
    <t xml:space="preserve">15-25% embedded</t>
  </si>
  <si>
    <t xml:space="preserve">20-35% embedded</t>
  </si>
  <si>
    <t xml:space="preserve">Risk-adjusted, higher ceiling</t>
  </si>
  <si>
    <t xml:space="preserve">Blended 18-28%</t>
  </si>
  <si>
    <t xml:space="preserve">Typical contract term</t>
  </si>
  <si>
    <t xml:space="preserve">3-5 years</t>
  </si>
  <si>
    <t xml:space="preserve">1-3 years (with renewal)</t>
  </si>
  <si>
    <t xml:space="preserve">5-7 years</t>
  </si>
  <si>
    <t xml:space="preserve">◆  Pricing Calculator — Model Your Scenario</t>
  </si>
  <si>
    <t xml:space="preserve">Parameter</t>
  </si>
  <si>
    <t xml:space="preserve">Your Input</t>
  </si>
  <si>
    <t xml:space="preserve">Unit</t>
  </si>
  <si>
    <t xml:space="preserve">FTEs to outsource</t>
  </si>
  <si>
    <t xml:space="preserve">FTEs</t>
  </si>
  <si>
    <t xml:space="preserve">FTE monthly rate (€)</t>
  </si>
  <si>
    <t xml:space="preserve">€/FTE/month</t>
  </si>
  <si>
    <t xml:space="preserve">Monthly transaction volume</t>
  </si>
  <si>
    <t xml:space="preserve">invoices/month</t>
  </si>
  <si>
    <t xml:space="preserve">Rate per transaction (€)</t>
  </si>
  <si>
    <t xml:space="preserve">€/transaction</t>
  </si>
  <si>
    <t xml:space="preserve">Current annual OtC cost (€)</t>
  </si>
  <si>
    <t xml:space="preserve">For gain-share baseline</t>
  </si>
  <si>
    <t xml:space="preserve">Target saving (%)</t>
  </si>
  <si>
    <t xml:space="preserve">Outcome-based share</t>
  </si>
  <si>
    <t xml:space="preserve">▲  Annual Cost Under Each Model</t>
  </si>
  <si>
    <t xml:space="preserve">FTE-Based Annual Cost</t>
  </si>
  <si>
    <t xml:space="preserve">Transaction-Based Annual Cost</t>
  </si>
  <si>
    <t xml:space="preserve">Outcome-Based Annual Cost</t>
  </si>
  <si>
    <t xml:space="preserve">Hybrid (60% FTE + 40% Txn)</t>
  </si>
  <si>
    <t xml:space="preserve">Lowest Cost Model</t>
  </si>
  <si>
    <t xml:space="preserve">IN-HOUSE vs OUTSOURCED — 5-Year TCO Comparison</t>
  </si>
  <si>
    <t xml:space="preserve">◆  Current In-House Cost Structure (Annual)</t>
  </si>
  <si>
    <t xml:space="preserve">Cost Component</t>
  </si>
  <si>
    <t xml:space="preserve">Annual Cost (€)</t>
  </si>
  <si>
    <t xml:space="preserve">% of Total</t>
  </si>
  <si>
    <t xml:space="preserve">FTE Salaries &amp; Benefits</t>
  </si>
  <si>
    <t xml:space="preserve">Fully loaded cost</t>
  </si>
  <si>
    <t xml:space="preserve">Management &amp; Supervision</t>
  </si>
  <si>
    <t xml:space="preserve">AR Manager, Team Leads</t>
  </si>
  <si>
    <t xml:space="preserve">Technology / Software</t>
  </si>
  <si>
    <t xml:space="preserve">ERP AR module, add-ons</t>
  </si>
  <si>
    <t xml:space="preserve">Infrastructure / Facilities</t>
  </si>
  <si>
    <t xml:space="preserve">Office space, equipment</t>
  </si>
  <si>
    <t xml:space="preserve">Training &amp; Development</t>
  </si>
  <si>
    <t xml:space="preserve">Ongoing training budget</t>
  </si>
  <si>
    <t xml:space="preserve">Recruitment &amp; Turnover</t>
  </si>
  <si>
    <t xml:space="preserve">Hiring costs, attrition</t>
  </si>
  <si>
    <t xml:space="preserve">Quality &amp; Compliance</t>
  </si>
  <si>
    <t xml:space="preserve">Audit, SOX compliance</t>
  </si>
  <si>
    <t xml:space="preserve">Contingency / Overhead (10%)</t>
  </si>
  <si>
    <t xml:space="preserve">Administrative overhead</t>
  </si>
  <si>
    <t xml:space="preserve">TOTAL IN-HOUSE (Annual)</t>
  </si>
  <si>
    <t xml:space="preserve">◎  Outsourced Cost Structure (Annual Steady-State)</t>
  </si>
  <si>
    <t xml:space="preserve">Provider Service Fees</t>
  </si>
  <si>
    <t xml:space="preserve">Core BPO charges</t>
  </si>
  <si>
    <t xml:space="preserve">Retained Organization</t>
  </si>
  <si>
    <t xml:space="preserve">Governance &amp; oversight FTEs</t>
  </si>
  <si>
    <t xml:space="preserve">Technology / License (retained)</t>
  </si>
  <si>
    <t xml:space="preserve">ERP, middleware retained stack</t>
  </si>
  <si>
    <t xml:space="preserve">Transition Costs (amortized/yr)</t>
  </si>
  <si>
    <t xml:space="preserve">One-time ÷ contract years</t>
  </si>
  <si>
    <t xml:space="preserve">Vendor Management Overhead</t>
  </si>
  <si>
    <t xml:space="preserve">SLA tracking, QA, escalations</t>
  </si>
  <si>
    <t xml:space="preserve">Change Request Budget</t>
  </si>
  <si>
    <t xml:space="preserve">Annual scope change provision</t>
  </si>
  <si>
    <t xml:space="preserve">Risk Premium / Contingency</t>
  </si>
  <si>
    <t xml:space="preserve">Buffer for scope growth</t>
  </si>
  <si>
    <t xml:space="preserve">TOTAL OUTSOURCED (Annual)</t>
  </si>
  <si>
    <t xml:space="preserve">▲  Comparison Summary</t>
  </si>
  <si>
    <t xml:space="preserve">Annual Saving (€)</t>
  </si>
  <si>
    <t xml:space="preserve">Annual Saving (%)</t>
  </si>
  <si>
    <t xml:space="preserve">◈  5-Year Cumulative Comparison</t>
  </si>
  <si>
    <t xml:space="preserve">Annual Escalation Rate</t>
  </si>
  <si>
    <t xml:space="preserve">Applied to both in-house and outsourced</t>
  </si>
  <si>
    <t xml:space="preserve">Year</t>
  </si>
  <si>
    <t xml:space="preserve">In-House (€)</t>
  </si>
  <si>
    <t xml:space="preserve">Outsourced (€)</t>
  </si>
  <si>
    <t xml:space="preserve">Cumulative Saving (€)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</si>
  <si>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</si>
  <si>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</si>
  <si>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</si>
  <si>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</si>
  <si>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</si>
  <si>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</si>
  <si>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SLA FRAMEWORK — Service Level Agreement Design</t>
  </si>
  <si>
    <t xml:space="preserve">Category</t>
  </si>
  <si>
    <t xml:space="preserve">SLA Metric</t>
  </si>
  <si>
    <t xml:space="preserve">Target</t>
  </si>
  <si>
    <t xml:space="preserve">Measurement</t>
  </si>
  <si>
    <t xml:space="preserve">Penalty</t>
  </si>
  <si>
    <t xml:space="preserve">Incentive</t>
  </si>
  <si>
    <t xml:space="preserve">Ref</t>
  </si>
  <si>
    <t xml:space="preserve">Operational</t>
  </si>
  <si>
    <t xml:space="preserve">Invoice Processing Time</t>
  </si>
  <si>
    <t xml:space="preserve">≤24hr from receipt</t>
  </si>
  <si>
    <t xml:space="preserve">Daily SLA report</t>
  </si>
  <si>
    <t xml:space="preserve">1% credit per hour over</t>
  </si>
  <si>
    <t xml:space="preserve">0.5% bonus if &lt;12hr</t>
  </si>
  <si>
    <t xml:space="preserve">Cash Application Accuracy</t>
  </si>
  <si>
    <t xml:space="preserve">≥98%</t>
  </si>
  <si>
    <t xml:space="preserve">Monthly reconciliation</t>
  </si>
  <si>
    <t xml:space="preserve">€500 per month below</t>
  </si>
  <si>
    <t xml:space="preserve">Gain-share on &gt;99%</t>
  </si>
  <si>
    <t xml:space="preserve">Cash Application Speed</t>
  </si>
  <si>
    <t xml:space="preserve">Same-day for 90%+</t>
  </si>
  <si>
    <t xml:space="preserve">Daily processing log</t>
  </si>
  <si>
    <t xml:space="preserve">1% credit per day missed</t>
  </si>
  <si>
    <t xml:space="preserve">Bonus for &gt;95%</t>
  </si>
  <si>
    <t xml:space="preserve">Collections Contact Rate</t>
  </si>
  <si>
    <t xml:space="preserve">100% of overdue &gt;30d</t>
  </si>
  <si>
    <t xml:space="preserve">Weekly activity report</t>
  </si>
  <si>
    <t xml:space="preserve">€250 per missed account</t>
  </si>
  <si>
    <t xml:space="preserve">Bonus for early collect</t>
  </si>
  <si>
    <t xml:space="preserve">Dispute Resolution Time</t>
  </si>
  <si>
    <t xml:space="preserve">≤15 business days avg</t>
  </si>
  <si>
    <t xml:space="preserve">Monthly aging report</t>
  </si>
  <si>
    <t xml:space="preserve">2% credit per day over</t>
  </si>
  <si>
    <t xml:space="preserve">1% bonus if &lt;10 days</t>
  </si>
  <si>
    <t xml:space="preserve">Quality</t>
  </si>
  <si>
    <t xml:space="preserve">Invoice Accuracy Rate</t>
  </si>
  <si>
    <t xml:space="preserve">≥99.5%</t>
  </si>
  <si>
    <t xml:space="preserve">Monthly error audit</t>
  </si>
  <si>
    <t xml:space="preserve">€100 per error above cap</t>
  </si>
  <si>
    <t xml:space="preserve">Year-end quality bonus</t>
  </si>
  <si>
    <t xml:space="preserve">First-Time Match Rate</t>
  </si>
  <si>
    <t xml:space="preserve">≥92%</t>
  </si>
  <si>
    <t xml:space="preserve">Monthly auto-match log</t>
  </si>
  <si>
    <t xml:space="preserve">1% credit per point below</t>
  </si>
  <si>
    <t xml:space="preserve">Gain-share on savings</t>
  </si>
  <si>
    <t xml:space="preserve">Bad Debt Ratio</t>
  </si>
  <si>
    <t xml:space="preserve">≤0.3% of revenue</t>
  </si>
  <si>
    <t xml:space="preserve">Quarterly write-off review</t>
  </si>
  <si>
    <t xml:space="preserve">50% of excess bad debt</t>
  </si>
  <si>
    <t xml:space="preserve">20% share of improvement</t>
  </si>
  <si>
    <t xml:space="preserve">Customer Complaint Rate</t>
  </si>
  <si>
    <t xml:space="preserve">≤2% of interactions</t>
  </si>
  <si>
    <t xml:space="preserve">Monthly survey + logs</t>
  </si>
  <si>
    <t xml:space="preserve">€200 per complaint over</t>
  </si>
  <si>
    <t xml:space="preserve">CSAT bonus &gt;95%</t>
  </si>
  <si>
    <t xml:space="preserve">—</t>
  </si>
  <si>
    <t xml:space="preserve">Outcome</t>
  </si>
  <si>
    <t xml:space="preserve">DSO Improvement</t>
  </si>
  <si>
    <t xml:space="preserve">Reduce by ≥5 days in Y1</t>
  </si>
  <si>
    <t xml:space="preserve">Monthly DSO calculation</t>
  </si>
  <si>
    <t xml:space="preserve">No gain-share if missed</t>
  </si>
  <si>
    <t xml:space="preserve">20% of WC release</t>
  </si>
  <si>
    <t xml:space="preserve">Cost per Invoice</t>
  </si>
  <si>
    <t xml:space="preserve">≤€3.50 by Y2</t>
  </si>
  <si>
    <t xml:space="preserve">Quarterly cost analysis</t>
  </si>
  <si>
    <t xml:space="preserve">Provider absorbs excess</t>
  </si>
  <si>
    <t xml:space="preserve">50/50 share below target</t>
  </si>
  <si>
    <t xml:space="preserve">Bench</t>
  </si>
  <si>
    <t xml:space="preserve">Process Automation Rate</t>
  </si>
  <si>
    <t xml:space="preserve">≥85% by Y3</t>
  </si>
  <si>
    <t xml:space="preserve">Quarterly automation audit</t>
  </si>
  <si>
    <t xml:space="preserve">Remediation plan required</t>
  </si>
  <si>
    <t xml:space="preserve">Innovation bonus</t>
  </si>
  <si>
    <t xml:space="preserve">Aging Reduction</t>
  </si>
  <si>
    <t xml:space="preserve">≤8% over 90 days</t>
  </si>
  <si>
    <t xml:space="preserve">Monthly aging analysis</t>
  </si>
  <si>
    <t xml:space="preserve">2% credit per point over</t>
  </si>
  <si>
    <t xml:space="preserve">Bonus for &lt;5%</t>
  </si>
  <si>
    <t xml:space="preserve">Service Management</t>
  </si>
  <si>
    <t xml:space="preserve">Monthly Reporting Timeliness</t>
  </si>
  <si>
    <t xml:space="preserve">By 5th business day</t>
  </si>
  <si>
    <t xml:space="preserve">Report delivery log</t>
  </si>
  <si>
    <t xml:space="preserve">€500 per late report</t>
  </si>
  <si>
    <t xml:space="preserve">Escalation Response Time</t>
  </si>
  <si>
    <t xml:space="preserve">≤4 hours (P1)</t>
  </si>
  <si>
    <t xml:space="preserve">Ticket system timestamps</t>
  </si>
  <si>
    <t xml:space="preserve">€200 per hour over</t>
  </si>
  <si>
    <t xml:space="preserve">CSAT uplift bonus</t>
  </si>
  <si>
    <t xml:space="preserve">Staff Turnover Rate</t>
  </si>
  <si>
    <t xml:space="preserve">≤15% annually</t>
  </si>
  <si>
    <t xml:space="preserve">Quarterly HR report</t>
  </si>
  <si>
    <t xml:space="preserve">Replacement at provider cost</t>
  </si>
  <si>
    <t xml:space="preserve">Retention bonus</t>
  </si>
  <si>
    <t xml:space="preserve">Business Continuity Test</t>
  </si>
  <si>
    <t xml:space="preserve">Annual BCP drill passed</t>
  </si>
  <si>
    <t xml:space="preserve">Annual test results</t>
  </si>
  <si>
    <t xml:space="preserve">Remediation within 30d</t>
  </si>
  <si>
    <t xml:space="preserve">Target values (blue text) are editable. Adjust to your risk appetite. Penalty/incentive structures should total ≤5-10% of annual fees at-risk.</t>
  </si>
  <si>
    <t xml:space="preserve">TRANSITION PLAN — 6-Phase Roadmap</t>
  </si>
  <si>
    <t xml:space="preserve">Phase</t>
  </si>
  <si>
    <t xml:space="preserve">Phase Name</t>
  </si>
  <si>
    <t xml:space="preserve">Duration</t>
  </si>
  <si>
    <t xml:space="preserve">Key Activities</t>
  </si>
  <si>
    <t xml:space="preserve">Key Risks</t>
  </si>
  <si>
    <t xml:space="preserve">Deliverables</t>
  </si>
  <si>
    <t xml:space="preserve">Gate Criteria</t>
  </si>
  <si>
    <t xml:space="preserve">Due Diligence</t>
  </si>
  <si>
    <t xml:space="preserve">4-6 weeks</t>
  </si>
  <si>
    <t xml:space="preserve">Provider site visits, reference checks, technical deep-dive, legal/compliance review, data room analysis</t>
  </si>
  <si>
    <t xml:space="preserve">Incomplete disclosure, hidden complexity, optimistic provider promises</t>
  </si>
  <si>
    <t xml:space="preserve">Due diligence report, risk assessment, recommendation memo</t>
  </si>
  <si>
    <t xml:space="preserve">Board/SteerCo approval to proceed</t>
  </si>
  <si>
    <t xml:space="preserve">Contract &amp; Design</t>
  </si>
  <si>
    <t xml:space="preserve">6-8 weeks</t>
  </si>
  <si>
    <t xml:space="preserve">MSA negotiation, SOW detailing, SLA finalization, pricing lock-in, transition plan agreement, retained org design</t>
  </si>
  <si>
    <t xml:space="preserve">Scope ambiguity, unfavorable terms, SLA gaps, exit clause weakness</t>
  </si>
  <si>
    <t xml:space="preserve">Signed MSA + SOW, SLA schedule, governance charter, RACI matrix</t>
  </si>
  <si>
    <t xml:space="preserve">Legal sign-off, CFO budget approval</t>
  </si>
  <si>
    <t xml:space="preserve">Knowledge Transfer</t>
  </si>
  <si>
    <t xml:space="preserve">8-12 weeks</t>
  </si>
  <si>
    <t xml:space="preserve">Process documentation (as-is), shadowing, reverse shadowing, system access provisioning, training delivery</t>
  </si>
  <si>
    <t xml:space="preserve">Knowledge loss, key person dependency, documentation gaps, system access delays</t>
  </si>
  <si>
    <t xml:space="preserve">Process runbooks, training completion certs, competency assessments, access logs</t>
  </si>
  <si>
    <t xml:space="preserve">Competency test pass rate ≥90%</t>
  </si>
  <si>
    <t xml:space="preserve">Parallel Run</t>
  </si>
  <si>
    <t xml:space="preserve">4-8 weeks</t>
  </si>
  <si>
    <t xml:space="preserve">Dual processing (in-house + provider), daily reconciliation, error tracking, SLA dry-run, escalation testing</t>
  </si>
  <si>
    <t xml:space="preserve">Duplicate processing errors, SLA misses in shadow mode, resource strain during dual ops</t>
  </si>
  <si>
    <t xml:space="preserve">Parallel run scorecard, error log, SLA compliance report, go/no-go assessment</t>
  </si>
  <si>
    <t xml:space="preserve">SLA met for 2 consecutive weeks, error rate &lt;2%</t>
  </si>
  <si>
    <t xml:space="preserve">Go-Live &amp; Hypercare</t>
  </si>
  <si>
    <t xml:space="preserve">Full cutover, dedicated support team, daily stand-ups, rapid issue resolution, customer communication</t>
  </si>
  <si>
    <t xml:space="preserve">Volume spikes, system integration failures, customer-facing errors, provider staffing gaps</t>
  </si>
  <si>
    <t xml:space="preserve">Go-live confirmation, daily dashboards, issue tracker, hypercare exit report</t>
  </si>
  <si>
    <t xml:space="preserve">All P1/P2 issues resolved, SLA green for 3 weeks</t>
  </si>
  <si>
    <t xml:space="preserve">Steady State</t>
  </si>
  <si>
    <t xml:space="preserve">Ongoing</t>
  </si>
  <si>
    <t xml:space="preserve">BAU operations, monthly governance, quarterly business reviews, continuous improvement, annual benchmarking</t>
  </si>
  <si>
    <t xml:space="preserve">Complacency, SLA erosion, scope creep, relationship degradation, contract renewal risk</t>
  </si>
  <si>
    <t xml:space="preserve">Monthly SLA reports, QBR packs, CI register, annual benchmark report</t>
  </si>
  <si>
    <t xml:space="preserve">Annual contract review completed</t>
  </si>
  <si>
    <t xml:space="preserve">Total Transition Timeline:</t>
  </si>
  <si>
    <t xml:space="preserve">26-40 weeks (6-10 months)</t>
  </si>
  <si>
    <t xml:space="preserve">Ref: Toolkit 2.6 SSC Transition for detailed work-stream planning</t>
  </si>
  <si>
    <t xml:space="preserve">RISK REGISTER — BPO/SSC/GBS Specific</t>
  </si>
  <si>
    <t xml:space="preserve">#</t>
  </si>
  <si>
    <t xml:space="preserve">Risk Category</t>
  </si>
  <si>
    <t xml:space="preserve">Risk Description</t>
  </si>
  <si>
    <t xml:space="preserve">Prob</t>
  </si>
  <si>
    <t xml:space="preserve">Impact</t>
  </si>
  <si>
    <t xml:space="preserve">Score</t>
  </si>
  <si>
    <t xml:space="preserve">Mitigation Strategy</t>
  </si>
  <si>
    <t xml:space="preserve">Owner</t>
  </si>
  <si>
    <t xml:space="preserve">Transition</t>
  </si>
  <si>
    <t xml:space="preserve">Knowledge loss during transfer</t>
  </si>
  <si>
    <t xml:space="preserve">Mandatory shadowing periods, documentation standards, knowledge retention bonuses</t>
  </si>
  <si>
    <t xml:space="preserve">Provider staffing delays</t>
  </si>
  <si>
    <t xml:space="preserve">Contractual staffing SLAs, backup resource pool, phased go-live</t>
  </si>
  <si>
    <t xml:space="preserve">SLA underperformance</t>
  </si>
  <si>
    <t xml:space="preserve">Performance bonds, monthly SLA reviews, escalation matrix</t>
  </si>
  <si>
    <t xml:space="preserve">Quality degradation over time</t>
  </si>
  <si>
    <t xml:space="preserve">Continuous quality audits, mystery shopper program, annual benchmarking</t>
  </si>
  <si>
    <t xml:space="preserve">Business continuity failure</t>
  </si>
  <si>
    <t xml:space="preserve">Dual-site requirement, annual BCP testing, RPO/RTO in contract</t>
  </si>
  <si>
    <t xml:space="preserve">Commercial</t>
  </si>
  <si>
    <t xml:space="preserve">Cost escalation beyond contract</t>
  </si>
  <si>
    <t xml:space="preserve">Cap annual increases at CPI+1%, change request governance</t>
  </si>
  <si>
    <t xml:space="preserve">Hidden costs / scope disputes</t>
  </si>
  <si>
    <t xml:space="preserve">Detailed SOW with assumptions log, monthly scope tracker</t>
  </si>
  <si>
    <t xml:space="preserve">Strategic</t>
  </si>
  <si>
    <t xml:space="preserve">Vendor lock-in / exit difficulty</t>
  </si>
  <si>
    <t xml:space="preserve">Exit clause with 12-month notice, IP ownership retained, transition-back assistance</t>
  </si>
  <si>
    <t xml:space="preserve">Regulatory / compliance exposure</t>
  </si>
  <si>
    <t xml:space="preserve">Compliance obligations in MSA, audit rights, data residency clauses</t>
  </si>
  <si>
    <t xml:space="preserve">People</t>
  </si>
  <si>
    <t xml:space="preserve">Internal morale / retention impact</t>
  </si>
  <si>
    <t xml:space="preserve">Transparent communication plan, redeployment program, retention packages</t>
  </si>
  <si>
    <t xml:space="preserve">Technology</t>
  </si>
  <si>
    <t xml:space="preserve">Integration / data migration failure</t>
  </si>
  <si>
    <t xml:space="preserve">Parallel run with rollback plan, integration testing sprints</t>
  </si>
  <si>
    <t xml:space="preserve">Data security / privacy breach</t>
  </si>
  <si>
    <t xml:space="preserve">ISO 27001 requirement, SOC 2 Type II, contractual liability caps</t>
  </si>
  <si>
    <t xml:space="preserve">Average Risk Score</t>
  </si>
  <si>
    <t xml:space="preserve">GOVERNANCE MODEL — 3-Tier Structure</t>
  </si>
  <si>
    <t xml:space="preserve">Level</t>
  </si>
  <si>
    <t xml:space="preserve">Forum</t>
  </si>
  <si>
    <t xml:space="preserve">Cadence</t>
  </si>
  <si>
    <t xml:space="preserve">Client Chair</t>
  </si>
  <si>
    <t xml:space="preserve">Provider Chair</t>
  </si>
  <si>
    <t xml:space="preserve">Agenda Items</t>
  </si>
  <si>
    <t xml:space="preserve">Executive Steering Committee</t>
  </si>
  <si>
    <t xml:space="preserve">Quarterly</t>
  </si>
  <si>
    <t xml:space="preserve">CFO / VP Finance</t>
  </si>
  <si>
    <t xml:space="preserve">Account Director</t>
  </si>
  <si>
    <t xml:space="preserve">Strategy alignment, contract review, escalations, innovation pipeline, benchmarking results, relationship health</t>
  </si>
  <si>
    <t xml:space="preserve">Annual Business Review</t>
  </si>
  <si>
    <t xml:space="preserve">Annual</t>
  </si>
  <si>
    <t xml:space="preserve">CEO / COO</t>
  </si>
  <si>
    <t xml:space="preserve">Managing Director</t>
  </si>
  <si>
    <t xml:space="preserve">Annual performance, contract renewal, pricing rebasing, market benchmarks, 3-year roadmap</t>
  </si>
  <si>
    <t xml:space="preserve">Tactical</t>
  </si>
  <si>
    <t xml:space="preserve">Monthly Operations Review</t>
  </si>
  <si>
    <t xml:space="preserve">Monthly</t>
  </si>
  <si>
    <t xml:space="preserve">OtC Director / Controller</t>
  </si>
  <si>
    <t xml:space="preserve">Service Delivery Manager</t>
  </si>
  <si>
    <t xml:space="preserve">SLA performance, financial reconciliation, CI progress, change requests, resource plan, risk register</t>
  </si>
  <si>
    <t xml:space="preserve">Change Advisory Board</t>
  </si>
  <si>
    <t xml:space="preserve">Bi-weekly</t>
  </si>
  <si>
    <t xml:space="preserve">OtC Director</t>
  </si>
  <si>
    <t xml:space="preserve">Transition Manager</t>
  </si>
  <si>
    <t xml:space="preserve">Change requests, scope changes, technology updates, process modifications</t>
  </si>
  <si>
    <t xml:space="preserve">Weekly Performance Call</t>
  </si>
  <si>
    <t xml:space="preserve">AR Manager</t>
  </si>
  <si>
    <t xml:space="preserve">Team Lead</t>
  </si>
  <si>
    <t xml:space="preserve">Weekly KPIs, open issues, workload balancing, priority customers, escalation resolution</t>
  </si>
  <si>
    <t xml:space="preserve">Daily Huddle</t>
  </si>
  <si>
    <t xml:space="preserve">Team Lead (client)</t>
  </si>
  <si>
    <t xml:space="preserve">Team Lead (provider)</t>
  </si>
  <si>
    <t xml:space="preserve">Daily volumes, exceptions, urgent items, system issues, attendance</t>
  </si>
  <si>
    <t xml:space="preserve">◆  Escalation Matrix</t>
  </si>
  <si>
    <t xml:space="preserve">Severity</t>
  </si>
  <si>
    <t xml:space="preserve">Description</t>
  </si>
  <si>
    <t xml:space="preserve">Response Time</t>
  </si>
  <si>
    <t xml:space="preserve">Resolution Time</t>
  </si>
  <si>
    <t xml:space="preserve">Escalation To</t>
  </si>
  <si>
    <t xml:space="preserve">Examples</t>
  </si>
  <si>
    <t xml:space="preserve">P1 — Critical</t>
  </si>
  <si>
    <t xml:space="preserve">Service down, major financial impact</t>
  </si>
  <si>
    <t xml:space="preserve">≤1 hour</t>
  </si>
  <si>
    <t xml:space="preserve">≤4 hours</t>
  </si>
  <si>
    <t xml:space="preserve">VP + Account Director</t>
  </si>
  <si>
    <t xml:space="preserve">System outage, mass billing error, data breach</t>
  </si>
  <si>
    <t xml:space="preserve">P2 — High</t>
  </si>
  <si>
    <t xml:space="preserve">SLA breach, significant quality issue</t>
  </si>
  <si>
    <t xml:space="preserve">≤24 hours</t>
  </si>
  <si>
    <t xml:space="preserve">Director + SDM</t>
  </si>
  <si>
    <t xml:space="preserve">Persistent SLA miss, key customer complaint, staff walkout</t>
  </si>
  <si>
    <t xml:space="preserve">P3 — Medium</t>
  </si>
  <si>
    <t xml:space="preserve">Process deviation, minor quality issue</t>
  </si>
  <si>
    <t xml:space="preserve">≤8 hours</t>
  </si>
  <si>
    <t xml:space="preserve">≤5 days</t>
  </si>
  <si>
    <t xml:space="preserve">Manager + Team Lead</t>
  </si>
  <si>
    <t xml:space="preserve">Process workaround needed, training gap, reporting delay</t>
  </si>
  <si>
    <t xml:space="preserve">P4 — Low</t>
  </si>
  <si>
    <t xml:space="preserve">Enhancement request, cosmetic issue</t>
  </si>
  <si>
    <t xml:space="preserve">≤15 days</t>
  </si>
  <si>
    <t xml:space="preserve">Team Lead + Team Lead</t>
  </si>
  <si>
    <t xml:space="preserve">Report format change, minor process improvement, documentation update</t>
  </si>
  <si>
    <t xml:space="preserve">RETAINED ORGANIZATION — Minimum Viable Team</t>
  </si>
  <si>
    <t xml:space="preserve">◆  Role Design</t>
  </si>
  <si>
    <t xml:space="preserve">Role</t>
  </si>
  <si>
    <t xml:space="preserve">FTE</t>
  </si>
  <si>
    <t xml:space="preserve">Key Responsibilities</t>
  </si>
  <si>
    <t xml:space="preserve">Skills Required</t>
  </si>
  <si>
    <t xml:space="preserve">OtC Governance Lead</t>
  </si>
  <si>
    <t xml:space="preserve">Senior Manager</t>
  </si>
  <si>
    <t xml:space="preserve">Overall BPO relationship, SLA oversight, steering committee prep, escalation owner, CI champion</t>
  </si>
  <si>
    <t xml:space="preserve">F&amp;A ops leadership, vendor management, change management, executive presence</t>
  </si>
  <si>
    <t xml:space="preserve">Process Excellence Analyst</t>
  </si>
  <si>
    <t xml:space="preserve">Analyst / Sr Analyst</t>
  </si>
  <si>
    <t xml:space="preserve">SLA tracking &amp; reporting, root cause analysis, process improvement, provider quality audits, benchmarking</t>
  </si>
  <si>
    <t xml:space="preserve">Process mining, data analytics, Six Sigma / Lean, KPI design</t>
  </si>
  <si>
    <t xml:space="preserve">Transition &amp; Change Manager</t>
  </si>
  <si>
    <t xml:space="preserve">Manager (temp→perm)</t>
  </si>
  <si>
    <t xml:space="preserve">Knowledge transfer oversight, training coordination, stakeholder comms, cutover management</t>
  </si>
  <si>
    <t xml:space="preserve">Project management, change management (ADKAR/Kotter), communication</t>
  </si>
  <si>
    <t xml:space="preserve">Technology Integration Lead</t>
  </si>
  <si>
    <t xml:space="preserve">Sr Analyst / Manager</t>
  </si>
  <si>
    <t xml:space="preserve">ERP interface management, data flow monitoring, system issue resolution, tech change requests</t>
  </si>
  <si>
    <t xml:space="preserve">ERP admin (SAP/Oracle/D365), middleware, API management, ITIL</t>
  </si>
  <si>
    <t xml:space="preserve">Finance &amp; Contract Analyst</t>
  </si>
  <si>
    <t xml:space="preserve">Analyst</t>
  </si>
  <si>
    <t xml:space="preserve">Invoice validation, cost tracking, contract compliance, change request costing, financial reporting</t>
  </si>
  <si>
    <t xml:space="preserve">Financial analysis, contract management, Excel/BI tools</t>
  </si>
  <si>
    <t xml:space="preserve">Escalation &amp; Customer Liaison</t>
  </si>
  <si>
    <t xml:space="preserve">Key account escalations, customer-facing issue resolution, internal stakeholder bridge</t>
  </si>
  <si>
    <t xml:space="preserve">Customer service, communication, problem solving, AR knowledge</t>
  </si>
  <si>
    <t xml:space="preserve">TOTAL RETAINED ORG</t>
  </si>
  <si>
    <t xml:space="preserve">◎  RACI Matrix — Key Activities</t>
  </si>
  <si>
    <t xml:space="preserve">Activity</t>
  </si>
  <si>
    <t xml:space="preserve">Governance Lead</t>
  </si>
  <si>
    <t xml:space="preserve">Process Analyst</t>
  </si>
  <si>
    <t xml:space="preserve">Provider SDM</t>
  </si>
  <si>
    <t xml:space="preserve">Provider Team</t>
  </si>
  <si>
    <t xml:space="preserve">Client CFO</t>
  </si>
  <si>
    <t xml:space="preserve">Daily AR operations</t>
  </si>
  <si>
    <t xml:space="preserve">I</t>
  </si>
  <si>
    <t xml:space="preserve">A</t>
  </si>
  <si>
    <t xml:space="preserve">R</t>
  </si>
  <si>
    <t xml:space="preserve">SLA monitoring &amp; reporting</t>
  </si>
  <si>
    <t xml:space="preserve">C</t>
  </si>
  <si>
    <t xml:space="preserve">Monthly governance meeting</t>
  </si>
  <si>
    <t xml:space="preserve">Quarterly business review</t>
  </si>
  <si>
    <t xml:space="preserve">Escalation management (P1/P2)</t>
  </si>
  <si>
    <t xml:space="preserve">Process improvement initiatives</t>
  </si>
  <si>
    <t xml:space="preserve">Technology change management</t>
  </si>
  <si>
    <t xml:space="preserve">Contract compliance monitoring</t>
  </si>
  <si>
    <t xml:space="preserve">Annual benchmarking</t>
  </si>
  <si>
    <t xml:space="preserve">Invoice validation &amp; payment</t>
  </si>
  <si>
    <t xml:space="preserve">Staffing &amp; training decisions</t>
  </si>
  <si>
    <t xml:space="preserve">Customer escalation resolution</t>
  </si>
  <si>
    <t xml:space="preserve">Data security &amp; compliance</t>
  </si>
  <si>
    <t xml:space="preserve">Annual contract review</t>
  </si>
  <si>
    <t xml:space="preserve">Budget planning &amp; forecasting</t>
  </si>
  <si>
    <t xml:space="preserve">Change request evaluation</t>
  </si>
  <si>
    <t xml:space="preserve">R = Responsible  |  A = Accountable  |  C = Consulted  |  I = Informed</t>
  </si>
  <si>
    <t xml:space="preserve">CONTRACT CHECKLIST — 48-Point Review</t>
  </si>
  <si>
    <t xml:space="preserve">Checkpoint</t>
  </si>
  <si>
    <t xml:space="preserve">Status</t>
  </si>
  <si>
    <t xml:space="preserve">Notes / Reference</t>
  </si>
  <si>
    <t xml:space="preserve">Scope &amp; Services</t>
  </si>
  <si>
    <t xml:space="preserve">Detailed SOW with process-level granularity</t>
  </si>
  <si>
    <t xml:space="preserve">Volume bands and unit definitions clearly stated</t>
  </si>
  <si>
    <t xml:space="preserve">Assumptions log attached to SOW</t>
  </si>
  <si>
    <t xml:space="preserve">Excluded services explicitly listed</t>
  </si>
  <si>
    <t xml:space="preserve">Change request process and pricing defined</t>
  </si>
  <si>
    <t xml:space="preserve">Innovation / continuous improvement obligations</t>
  </si>
  <si>
    <t xml:space="preserve">Pricing &amp; Commercial</t>
  </si>
  <si>
    <t xml:space="preserve">Base pricing with unit rate breakdown</t>
  </si>
  <si>
    <t xml:space="preserve">Volume tier pricing (discounts/surcharges)</t>
  </si>
  <si>
    <t xml:space="preserve">Annual price escalation mechanism (CPI cap)</t>
  </si>
  <si>
    <t xml:space="preserve">Currency and FX risk allocation</t>
  </si>
  <si>
    <t xml:space="preserve">Payment terms and invoicing frequency</t>
  </si>
  <si>
    <t xml:space="preserve">Minimum commitment / take-or-pay terms</t>
  </si>
  <si>
    <t xml:space="preserve">Benchmarking clause (right to rebid pricing)</t>
  </si>
  <si>
    <t xml:space="preserve">Gain-share / outcome-based incentive terms</t>
  </si>
  <si>
    <t xml:space="preserve">SLA &amp; Performance</t>
  </si>
  <si>
    <t xml:space="preserve">SLA metrics defined with measurement methodology</t>
  </si>
  <si>
    <t xml:space="preserve">Target values and tolerance bands specified</t>
  </si>
  <si>
    <t xml:space="preserve">At-risk amount and penalty/bonus mechanics</t>
  </si>
  <si>
    <t xml:space="preserve">Earn-back provisions for missed SLAs</t>
  </si>
  <si>
    <t xml:space="preserve">SLA holiday during transition period defined</t>
  </si>
  <si>
    <t xml:space="preserve">Continuous improvement targets year-over-year</t>
  </si>
  <si>
    <t xml:space="preserve">Governance &amp; Reporting</t>
  </si>
  <si>
    <t xml:space="preserve">Governance structure with cadence defined</t>
  </si>
  <si>
    <t xml:space="preserve">Escalation matrix with response/resolution times</t>
  </si>
  <si>
    <t xml:space="preserve">Reporting requirements and formats specified</t>
  </si>
  <si>
    <t xml:space="preserve">Audit rights (operational, financial, compliance)</t>
  </si>
  <si>
    <t xml:space="preserve">Key personnel clause (named resources)</t>
  </si>
  <si>
    <t xml:space="preserve">People &amp; Transition</t>
  </si>
  <si>
    <t xml:space="preserve">TUPE / employee transfer obligations (if EU)</t>
  </si>
  <si>
    <t xml:space="preserve">Knowledge transfer plan and timeline</t>
  </si>
  <si>
    <t xml:space="preserve">Staffing levels and qualifications minimum</t>
  </si>
  <si>
    <t xml:space="preserve">Training and certification requirements</t>
  </si>
  <si>
    <t xml:space="preserve">Background check and security clearance</t>
  </si>
  <si>
    <t xml:space="preserve">Non-solicitation clause (both directions)</t>
  </si>
  <si>
    <t xml:space="preserve">Technology &amp; Data</t>
  </si>
  <si>
    <t xml:space="preserve">IP ownership clearly defined (client retains)</t>
  </si>
  <si>
    <t xml:space="preserve">Data ownership, residency, and portability</t>
  </si>
  <si>
    <t xml:space="preserve">System access and integration responsibilities</t>
  </si>
  <si>
    <t xml:space="preserve">Data security standards (ISO 27001, SOC 2)</t>
  </si>
  <si>
    <t xml:space="preserve">GDPR / data protection compliance obligations</t>
  </si>
  <si>
    <t xml:space="preserve">Technology refresh and upgrade obligations</t>
  </si>
  <si>
    <t xml:space="preserve">Risk &amp; Compliance</t>
  </si>
  <si>
    <t xml:space="preserve">Insurance coverage minimums specified</t>
  </si>
  <si>
    <t xml:space="preserve">Liability caps and indemnification terms</t>
  </si>
  <si>
    <t xml:space="preserve">Force majeure definition and obligations</t>
  </si>
  <si>
    <t xml:space="preserve">Business continuity and disaster recovery</t>
  </si>
  <si>
    <t xml:space="preserve">Regulatory compliance responsibility matrix</t>
  </si>
  <si>
    <t xml:space="preserve">Subcontracting restrictions and approvals</t>
  </si>
  <si>
    <t xml:space="preserve">Term &amp; Exit</t>
  </si>
  <si>
    <t xml:space="preserve">Contract term and renewal mechanism</t>
  </si>
  <si>
    <t xml:space="preserve">Termination for convenience (notice period)</t>
  </si>
  <si>
    <t xml:space="preserve">Termination for cause (cure period, triggers)</t>
  </si>
  <si>
    <t xml:space="preserve">Transition-back assistance obligation (duration)</t>
  </si>
  <si>
    <t xml:space="preserve">Exit fees and wind-down cost allocation</t>
  </si>
  <si>
    <t xml:space="preserve">Data return and destruction obligations</t>
  </si>
  <si>
    <t xml:space="preserve">Completion</t>
  </si>
  <si>
    <t xml:space="preserve">BPO / OUTSOURCING BENCHMARKS</t>
  </si>
  <si>
    <t xml:space="preserve">Metric</t>
  </si>
  <si>
    <t xml:space="preserve">Top Quartile</t>
  </si>
  <si>
    <t xml:space="preserve">Median</t>
  </si>
  <si>
    <t xml:space="preserve">Bottom Quartile</t>
  </si>
  <si>
    <t xml:space="preserve">Source</t>
  </si>
  <si>
    <t xml:space="preserve">OtC BPO Cost Savings (%)</t>
  </si>
  <si>
    <t xml:space="preserve">35-45%</t>
  </si>
  <si>
    <t xml:space="preserve">20-30%</t>
  </si>
  <si>
    <t xml:space="preserve">10-15%</t>
  </si>
  <si>
    <t xml:space="preserve">Hackett / Everest 2024</t>
  </si>
  <si>
    <t xml:space="preserve">Transition Timeline (months)</t>
  </si>
  <si>
    <t xml:space="preserve">4-5</t>
  </si>
  <si>
    <t xml:space="preserve">6-8</t>
  </si>
  <si>
    <t xml:space="preserve">10-14</t>
  </si>
  <si>
    <t xml:space="preserve">ISG / KPMG 2024</t>
  </si>
  <si>
    <t xml:space="preserve">First-Year SLA Achievement (%)</t>
  </si>
  <si>
    <t xml:space="preserve">95%+</t>
  </si>
  <si>
    <t xml:space="preserve">85-90%</t>
  </si>
  <si>
    <t xml:space="preserve">&lt;80%</t>
  </si>
  <si>
    <t xml:space="preserve">HFS Research 2024</t>
  </si>
  <si>
    <t xml:space="preserve">BPO Provider Staff Attrition (%)</t>
  </si>
  <si>
    <t xml:space="preserve">&lt;10%</t>
  </si>
  <si>
    <t xml:space="preserve">15-20%</t>
  </si>
  <si>
    <t xml:space="preserve">25-35%</t>
  </si>
  <si>
    <t xml:space="preserve">NASSCOM / Everest 2024</t>
  </si>
  <si>
    <t xml:space="preserve">Cost per Invoice — BPO (€)</t>
  </si>
  <si>
    <t xml:space="preserve">1.20-2.00</t>
  </si>
  <si>
    <t xml:space="preserve">2.50-4.00</t>
  </si>
  <si>
    <t xml:space="preserve">5.00-8.00</t>
  </si>
  <si>
    <t xml:space="preserve">Hackett Group 2024</t>
  </si>
  <si>
    <t xml:space="preserve">Cash App Auto-Match Rate (%)</t>
  </si>
  <si>
    <t xml:space="preserve">92-98%</t>
  </si>
  <si>
    <t xml:space="preserve">78-85%</t>
  </si>
  <si>
    <t xml:space="preserve">55-70%</t>
  </si>
  <si>
    <t xml:space="preserve">APQC PCF v7.4</t>
  </si>
  <si>
    <t xml:space="preserve">DSO Improvement via BPO (days)</t>
  </si>
  <si>
    <t xml:space="preserve">8-15</t>
  </si>
  <si>
    <t xml:space="preserve">3-7</t>
  </si>
  <si>
    <t xml:space="preserve">0-2</t>
  </si>
  <si>
    <t xml:space="preserve">Everest / ISG 2024</t>
  </si>
  <si>
    <t xml:space="preserve">Contract Duration (years)</t>
  </si>
  <si>
    <t xml:space="preserve">5-7</t>
  </si>
  <si>
    <t xml:space="preserve">3-5</t>
  </si>
  <si>
    <t xml:space="preserve">1-3</t>
  </si>
  <si>
    <t xml:space="preserve">ISG Provider Lens 2024</t>
  </si>
  <si>
    <t xml:space="preserve">Retained Org Cost (% of savings)</t>
  </si>
  <si>
    <t xml:space="preserve">8-12%</t>
  </si>
  <si>
    <t xml:space="preserve">KPMG Shared Services 2024</t>
  </si>
  <si>
    <t xml:space="preserve">Customer Satisfaction (CSAT %)</t>
  </si>
  <si>
    <t xml:space="preserve">82-88%</t>
  </si>
  <si>
    <t xml:space="preserve">&lt;78%</t>
  </si>
  <si>
    <t xml:space="preserve">HFS / Everest 2024</t>
  </si>
  <si>
    <t xml:space="preserve">Use these benchmarks to validate provider proposals, set SLA targets, and challenge cost assumptions. Top-quartile outcomes require strong governance and retained org investment.</t>
  </si>
  <si>
    <t xml:space="preserve">EXAMPLE — European Manufacturer, €200M Revenue</t>
  </si>
  <si>
    <t xml:space="preserve">Use these values to populate the model and validate formulas.</t>
  </si>
  <si>
    <t xml:space="preserve">BPO (Selective)</t>
  </si>
  <si>
    <t xml:space="preserve">Europe → India nearshore</t>
  </si>
  <si>
    <t xml:space="preserve">Revenue in Scope</t>
  </si>
  <si>
    <t xml:space="preserve">€200,000,000</t>
  </si>
  <si>
    <t xml:space="preserve">Monthly Invoice Volume</t>
  </si>
  <si>
    <t xml:space="preserve">Current AR FTEs</t>
  </si>
  <si>
    <t xml:space="preserve">Processes in Scope</t>
  </si>
  <si>
    <t xml:space="preserve">6 (Credit through Collections)</t>
  </si>
  <si>
    <t xml:space="preserve">Current DSO</t>
  </si>
  <si>
    <t xml:space="preserve">42 days</t>
  </si>
  <si>
    <t xml:space="preserve">5 years</t>
  </si>
  <si>
    <t xml:space="preserve">In-House Cost Structure</t>
  </si>
  <si>
    <t xml:space="preserve">€1,170,000 (18 × €65K)</t>
  </si>
  <si>
    <t xml:space="preserve">Management</t>
  </si>
  <si>
    <t xml:space="preserve">€190,000</t>
  </si>
  <si>
    <t xml:space="preserve">€120,000</t>
  </si>
  <si>
    <t xml:space="preserve">Infrastructure</t>
  </si>
  <si>
    <t xml:space="preserve">€95,000</t>
  </si>
  <si>
    <t xml:space="preserve">Training</t>
  </si>
  <si>
    <t xml:space="preserve">€35,000</t>
  </si>
  <si>
    <t xml:space="preserve">Recruitment/Turnover</t>
  </si>
  <si>
    <t xml:space="preserve">€72,000</t>
  </si>
  <si>
    <t xml:space="preserve">Quality/Compliance</t>
  </si>
  <si>
    <t xml:space="preserve">€48,000</t>
  </si>
  <si>
    <t xml:space="preserve">Overhead (10%)</t>
  </si>
  <si>
    <t xml:space="preserve">€173,000</t>
  </si>
  <si>
    <t xml:space="preserve">TOTAL IN-HOUSE</t>
  </si>
  <si>
    <t xml:space="preserve">€1,903,000/yr</t>
  </si>
  <si>
    <t xml:space="preserve">Outsourced Cost Structure</t>
  </si>
  <si>
    <t xml:space="preserve">Provider Fees (14 FTE × €2,400/mo)</t>
  </si>
  <si>
    <t xml:space="preserve">€403,200/yr</t>
  </si>
  <si>
    <t xml:space="preserve">Retained Org (4 FTE)</t>
  </si>
  <si>
    <t xml:space="preserve">€305,000/yr</t>
  </si>
  <si>
    <t xml:space="preserve">Technology (retained)</t>
  </si>
  <si>
    <t xml:space="preserve">€85,000/yr</t>
  </si>
  <si>
    <t xml:space="preserve">Transition (€380K ÷ 5yr)</t>
  </si>
  <si>
    <t xml:space="preserve">€76,000/yr</t>
  </si>
  <si>
    <t xml:space="preserve">Vendor Management</t>
  </si>
  <si>
    <t xml:space="preserve">€45,000/yr</t>
  </si>
  <si>
    <t xml:space="preserve">Change Requests</t>
  </si>
  <si>
    <t xml:space="preserve">€30,000/yr</t>
  </si>
  <si>
    <t xml:space="preserve">Contingency</t>
  </si>
  <si>
    <t xml:space="preserve">€50,000/yr</t>
  </si>
  <si>
    <t xml:space="preserve">TOTAL OUTSOURCED</t>
  </si>
  <si>
    <t xml:space="preserve">€994,200/yr</t>
  </si>
  <si>
    <t xml:space="preserve">Expected Results</t>
  </si>
  <si>
    <t xml:space="preserve">Annual Saving</t>
  </si>
  <si>
    <t xml:space="preserve">~€909,000 (47.8%)</t>
  </si>
  <si>
    <t xml:space="preserve">5-Year Cumulative Saving</t>
  </si>
  <si>
    <t xml:space="preserve">~€4,800,000</t>
  </si>
  <si>
    <t xml:space="preserve">5-8 days</t>
  </si>
  <si>
    <t xml:space="preserve">Payback on Transition</t>
  </si>
  <si>
    <t xml:space="preserve">~5 months</t>
  </si>
  <si>
    <t xml:space="preserve">Provider Score (top vendor)</t>
  </si>
  <si>
    <t xml:space="preserve">CALCULATIONS (HIDDEN)</t>
  </si>
  <si>
    <t xml:space="preserve">Reserved for cross-sheet calculations</t>
  </si>
  <si>
    <t xml:space="preserve">DROPDOWN DATA (HIDDEN)</t>
  </si>
  <si>
    <t xml:space="preserve">Scope Status</t>
  </si>
  <si>
    <t xml:space="preserve">Transfer</t>
  </si>
  <si>
    <t xml:space="preserve">Contract Status</t>
  </si>
  <si>
    <t xml:space="preserve">Shortlist</t>
  </si>
  <si>
    <t xml:space="preserve">Done</t>
  </si>
  <si>
    <t xml:space="preserve">SSC</t>
  </si>
  <si>
    <t xml:space="preserve">Selective Outsource</t>
  </si>
  <si>
    <t xml:space="preserve">In Progress</t>
  </si>
  <si>
    <t xml:space="preserve">GBS</t>
  </si>
  <si>
    <t xml:space="preserve">Lift-and-Shift</t>
  </si>
  <si>
    <t xml:space="preserve">Not Started</t>
  </si>
  <si>
    <t xml:space="preserve">Maybe</t>
  </si>
  <si>
    <t xml:space="preserve">Transform-and-Transfer</t>
  </si>
  <si>
    <t xml:space="preserve">Co-Managed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</si>
</sst>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yr&quot;"/>
    <numFmt numFmtId="166" formatCode="#,##0"/>
    <numFmt numFmtId="167" formatCode="0.0"/>
    <numFmt numFmtId="168" formatCode="#,##0&quot; processes&quot;"/>
    <numFmt numFmtId="169" formatCode="0.0&quot; FTEs&quot;"/>
    <numFmt numFmtId="170" formatCode="0.0%"/>
    <numFmt numFmtId="171" formatCode="0.00"/>
    <numFmt numFmtId="172" formatCode="\#0"/>
    <numFmt numFmtId="173" formatCode="#,##0.0"/>
    <numFmt numFmtId="174" formatCode="\€#,##0.00"/>
    <numFmt numFmtId="175" formatCode="#,##0;\(#,##0\);\-"/>
    <numFmt numFmtId="176" formatCode="General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58A6FF"/>
      <name val="Arial"/>
      <family val="0"/>
      <charset val="1"/>
    </font>
    <font>
      <b val="true"/>
      <sz val="28"/>
      <color rgb="FFE6EDF3"/>
      <name val="Arial"/>
      <family val="0"/>
      <charset val="1"/>
    </font>
    <font>
      <sz val="13"/>
      <color rgb="FF8B949E"/>
      <name val="Arial"/>
      <family val="0"/>
      <charset val="1"/>
    </font>
    <font>
      <sz val="10"/>
      <color rgb="FF484F58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1"/>
      <color rgb="FF4488FF"/>
      <name val="Arial"/>
      <family val="0"/>
      <charset val="1"/>
    </font>
    <font>
      <sz val="11"/>
      <color rgb="FF4488FF"/>
      <name val="Arial"/>
      <family val="0"/>
      <charset val="1"/>
    </font>
    <font>
      <sz val="11"/>
      <color rgb="FF8B949E"/>
      <name val="Arial"/>
      <family val="0"/>
      <charset val="1"/>
    </font>
    <font>
      <b val="true"/>
      <sz val="11"/>
      <color rgb="FF58A6FF"/>
      <name val="Arial"/>
      <family val="0"/>
      <charset val="1"/>
    </font>
    <font>
      <sz val="11"/>
      <color rgb="FF58A6FF"/>
      <name val="Arial"/>
      <family val="0"/>
      <charset val="1"/>
    </font>
    <font>
      <b val="true"/>
      <sz val="14"/>
      <color rgb="FF58A6FF"/>
      <name val="Arial"/>
      <family val="0"/>
      <charset val="1"/>
    </font>
    <font>
      <b val="true"/>
      <sz val="10"/>
      <color rgb="FF58A6FF"/>
      <name val="Arial"/>
      <family val="0"/>
      <charset val="1"/>
    </font>
    <font>
      <b val="true"/>
      <sz val="12"/>
      <color rgb="FFE6EDF3"/>
      <name val="Arial"/>
      <family val="0"/>
      <charset val="1"/>
    </font>
    <font>
      <sz val="11"/>
      <color rgb="FFBC8CFF"/>
      <name val="Arial"/>
      <family val="0"/>
      <charset val="1"/>
    </font>
    <font>
      <sz val="11"/>
      <color rgb="FFE6EDF3"/>
      <name val="Arial"/>
      <family val="0"/>
      <charset val="1"/>
    </font>
    <font>
      <sz val="11"/>
      <color rgb="FF4488FF"/>
      <name val="Aptos"/>
      <family val="0"/>
      <charset val="1"/>
    </font>
    <font>
      <b val="true"/>
      <sz val="10"/>
      <color rgb="FFE6EDF3"/>
      <name val="Arial"/>
      <family val="0"/>
      <charset val="1"/>
    </font>
    <font>
      <sz val="11"/>
      <color rgb="FFE6EDF3"/>
      <name val="Aptos"/>
      <family val="0"/>
      <charset val="1"/>
    </font>
    <font>
      <b val="true"/>
      <sz val="11"/>
      <color rgb="FF39D2C0"/>
      <name val="Arial"/>
      <family val="0"/>
      <charset val="1"/>
    </font>
    <font>
      <sz val="11"/>
      <color rgb="FF39D2C0"/>
      <name val="Arial"/>
      <family val="0"/>
      <charset val="1"/>
    </font>
    <font>
      <b val="true"/>
      <sz val="11"/>
      <color rgb="FFBC8CFF"/>
      <name val="Arial"/>
      <family val="0"/>
      <charset val="1"/>
    </font>
    <font>
      <b val="true"/>
      <sz val="11"/>
      <color rgb="FFD29922"/>
      <name val="Arial"/>
      <family val="0"/>
      <charset val="1"/>
    </font>
    <font>
      <b val="true"/>
      <sz val="11"/>
      <color rgb="FF3FB950"/>
      <name val="Arial"/>
      <family val="0"/>
      <charset val="1"/>
    </font>
    <font>
      <b val="true"/>
      <sz val="14"/>
      <color rgb="FFE6EDF3"/>
      <name val="Arial"/>
      <family val="0"/>
      <charset val="1"/>
    </font>
    <font>
      <b val="true"/>
      <sz val="14"/>
      <color rgb="FF3FB950"/>
      <name val="Arial"/>
      <family val="0"/>
      <charset val="1"/>
    </font>
    <font>
      <b val="true"/>
      <sz val="16"/>
      <color rgb="FF58A6FF"/>
      <name val="Arial"/>
      <family val="0"/>
      <charset val="1"/>
    </font>
    <font>
      <b val="true"/>
      <sz val="11"/>
      <color rgb="FFE6EDF3"/>
      <name val="Arial"/>
      <family val="0"/>
      <charset val="1"/>
    </font>
    <font>
      <b val="true"/>
      <sz val="14"/>
      <color rgb="FF39D2C0"/>
      <name val="Arial"/>
      <family val="0"/>
      <charset val="1"/>
    </font>
    <font>
      <b val="true"/>
      <sz val="14"/>
      <color rgb="FFBC8CFF"/>
      <name val="Arial"/>
      <family val="0"/>
      <charset val="1"/>
    </font>
    <font>
      <b val="true"/>
      <sz val="11"/>
      <color rgb="FFF0883E"/>
      <name val="Arial"/>
      <family val="0"/>
      <charset val="1"/>
    </font>
    <font>
      <b val="true"/>
      <sz val="14"/>
      <color rgb="FFF0883E"/>
      <name val="Arial"/>
      <family val="0"/>
      <charset val="1"/>
    </font>
    <font>
      <b val="true"/>
      <sz val="12"/>
      <color rgb="FFF85149"/>
      <name val="Arial"/>
      <family val="0"/>
      <charset val="1"/>
    </font>
    <font>
      <b val="true"/>
      <sz val="12"/>
      <color rgb="FF3FB950"/>
      <name val="Arial"/>
      <family val="0"/>
      <charset val="1"/>
    </font>
    <font>
      <sz val="11"/>
      <color rgb="FFF85149"/>
      <name val="Arial"/>
      <family val="0"/>
      <charset val="1"/>
    </font>
    <font>
      <sz val="11"/>
      <color rgb="FF3FB950"/>
      <name val="Arial"/>
      <family val="0"/>
      <charset val="1"/>
    </font>
    <font>
      <sz val="10"/>
      <color rgb="FFD29922"/>
      <name val="Arial"/>
      <family val="0"/>
      <charset val="1"/>
    </font>
    <font>
      <sz val="10"/>
      <color rgb="FF3FB950"/>
      <name val="Arial"/>
      <family val="0"/>
      <charset val="1"/>
    </font>
    <font>
      <sz val="10"/>
      <color rgb="FFBC8CFF"/>
      <name val="Arial"/>
      <family val="0"/>
      <charset val="1"/>
    </font>
    <font>
      <b val="true"/>
      <sz val="14"/>
      <color rgb="FFD29922"/>
      <name val="Arial"/>
      <family val="0"/>
      <charset val="1"/>
    </font>
    <font>
      <b val="true"/>
      <sz val="11"/>
      <color rgb="FFF85149"/>
      <name val="Arial"/>
      <family val="0"/>
      <charset val="1"/>
    </font>
    <font>
      <sz val="11"/>
      <color rgb="FFD29922"/>
      <name val="Arial"/>
      <family val="0"/>
      <charset val="1"/>
    </font>
    <font>
      <b val="true"/>
      <sz val="11"/>
      <color rgb="FF8B949E"/>
      <name val="Arial"/>
      <family val="0"/>
      <charset val="1"/>
    </font>
    <font>
      <b val="true"/>
      <sz val="11"/>
      <color rgb="FF484F58"/>
      <name val="Arial"/>
      <family val="0"/>
      <charset val="1"/>
    </font>
    <font>
      <b val="true"/>
      <sz val="11"/>
      <color rgb="FF58A6FF"/>
      <name val="Apto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58A6FF"/>
        <bgColor rgb="FF4488FF"/>
      </patternFill>
    </fill>
    <fill>
      <patternFill patternType="solid">
        <fgColor rgb="FF161B22"/>
        <bgColor rgb="FF1C2333"/>
      </patternFill>
    </fill>
    <fill>
      <patternFill patternType="solid">
        <fgColor rgb="FF1F3A5F"/>
        <bgColor rgb="FF30363D"/>
      </patternFill>
    </fill>
    <fill>
      <patternFill patternType="solid">
        <fgColor rgb="FF1C2333"/>
        <bgColor rgb="FF161B22"/>
      </patternFill>
    </fill>
    <fill>
      <patternFill patternType="solid">
        <fgColor rgb="FF0F3D36"/>
        <bgColor rgb="FF1A3A2A"/>
      </patternFill>
    </fill>
    <fill>
      <patternFill patternType="solid">
        <fgColor rgb="FF2D1F4E"/>
        <bgColor rgb="FF1C2333"/>
      </patternFill>
    </fill>
    <fill>
      <patternFill patternType="solid">
        <fgColor rgb="FF3D2E0A"/>
        <bgColor rgb="FF3D1F1F"/>
      </patternFill>
    </fill>
    <fill>
      <patternFill patternType="solid">
        <fgColor rgb="FF1A3A2A"/>
        <bgColor rgb="FF0F3D3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58A6FF"/>
      </left>
      <right style="thin">
        <color rgb="FF58A6FF"/>
      </right>
      <top style="thin">
        <color rgb="FF58A6FF"/>
      </top>
      <bottom style="thin">
        <color rgb="FF58A6FF"/>
      </bottom>
      <diagonal/>
    </border>
    <border diagonalUp="false" diagonalDown="false">
      <left style="thin">
        <color rgb="FF30363D"/>
      </left>
      <right/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1A3A2A"/>
        </patternFill>
      </fill>
    </dxf>
    <dxf>
      <fill>
        <patternFill>
          <bgColor rgb="FF3D2E0A"/>
        </patternFill>
      </fill>
    </dxf>
    <dxf>
      <fill>
        <patternFill>
          <bgColor rgb="FF3D1F1F"/>
        </patternFill>
      </fill>
    </dxf>
  </dxfs>
  <colors>
    <indexedColors>
      <rgbColor rgb="FF000000"/>
      <rgbColor rgb="FFE6EDF3"/>
      <rgbColor rgb="FFFF0000"/>
      <rgbColor rgb="FF00FF00"/>
      <rgbColor rgb="FF0000FF"/>
      <rgbColor rgb="FFFFFF00"/>
      <rgbColor rgb="FFFF00FF"/>
      <rgbColor rgb="FF00FFFF"/>
      <rgbColor rgb="FF1C2333"/>
      <rgbColor rgb="FF0F3D36"/>
      <rgbColor rgb="FF0D1117"/>
      <rgbColor rgb="FF808000"/>
      <rgbColor rgb="FF800080"/>
      <rgbColor rgb="FF0E7490"/>
      <rgbColor rgb="FFC0C0C0"/>
      <rgbColor rgb="FF808080"/>
      <rgbColor rgb="FF58A6FF"/>
      <rgbColor rgb="FF993366"/>
      <rgbColor rgb="FFFFFFCC"/>
      <rgbColor rgb="FFCCFFFF"/>
      <rgbColor rgb="FF3D1F1F"/>
      <rgbColor rgb="FFF0883E"/>
      <rgbColor rgb="FF0066CC"/>
      <rgbColor rgb="FFCCCCFF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C8CFF"/>
      <rgbColor rgb="FFFFCC99"/>
      <rgbColor rgb="FF4488FF"/>
      <rgbColor rgb="FF39D2C0"/>
      <rgbColor rgb="FFC9A227"/>
      <rgbColor rgb="FFFFCC00"/>
      <rgbColor rgb="FFD29922"/>
      <rgbColor rgb="FFF85149"/>
      <rgbColor rgb="FF484F58"/>
      <rgbColor rgb="FF8B949E"/>
      <rgbColor rgb="FF1F3A5F"/>
      <rgbColor rgb="FF3FB950"/>
      <rgbColor rgb="FF1A3A2A"/>
      <rgbColor rgb="FF3D2E0A"/>
      <rgbColor rgb="FF993300"/>
      <rgbColor rgb="FF993366"/>
      <rgbColor rgb="FF2D1F4E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tru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4" min="1" style="1" width="1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2"/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2"/>
      <c r="N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33.75" hidden="false" customHeight="true" outlineLevel="0" collapsed="false">
      <c r="A6" s="2"/>
      <c r="B6" s="4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2"/>
      <c r="N6" s="2"/>
    </row>
    <row r="7" customFormat="false" ht="33.75" hidden="false" customHeight="true" outlineLevel="0" collapsed="false">
      <c r="A7" s="2"/>
      <c r="B7" s="4" t="s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</row>
    <row r="8" customFormat="false" ht="14.2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.75" hidden="false" customHeight="true" outlineLevel="0" collapsed="false">
      <c r="A9" s="2"/>
      <c r="B9" s="5" t="s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2"/>
      <c r="N9" s="2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true" outlineLevel="0" collapsed="false">
      <c r="A11" s="2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2"/>
      <c r="N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4.25" hidden="false" customHeight="true" outlineLevel="0" collapsed="false">
      <c r="A13" s="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true" outlineLevel="0" collapsed="false">
      <c r="A15" s="2"/>
      <c r="B15" s="8" t="s">
        <v>5</v>
      </c>
      <c r="C15" s="8"/>
      <c r="D15" s="8"/>
      <c r="E15" s="8"/>
      <c r="F15" s="2"/>
      <c r="G15" s="8" t="s">
        <v>6</v>
      </c>
      <c r="H15" s="8"/>
      <c r="I15" s="8"/>
      <c r="J15" s="8"/>
      <c r="K15" s="8"/>
      <c r="L15" s="8"/>
      <c r="M15" s="2"/>
      <c r="N15" s="2"/>
    </row>
    <row r="16" customFormat="false" ht="15" hidden="false" customHeight="true" outlineLevel="0" collapsed="false">
      <c r="A16" s="2"/>
      <c r="B16" s="9" t="s">
        <v>7</v>
      </c>
      <c r="C16" s="9"/>
      <c r="D16" s="9"/>
      <c r="E16" s="9"/>
      <c r="F16" s="2"/>
      <c r="G16" s="9" t="s">
        <v>8</v>
      </c>
      <c r="H16" s="9"/>
      <c r="I16" s="9"/>
      <c r="J16" s="9"/>
      <c r="K16" s="9"/>
      <c r="L16" s="9"/>
      <c r="M16" s="2"/>
      <c r="N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true" outlineLevel="0" collapsed="false">
      <c r="A18" s="2"/>
      <c r="B18" s="8" t="s">
        <v>9</v>
      </c>
      <c r="C18" s="8"/>
      <c r="D18" s="8"/>
      <c r="E18" s="8"/>
      <c r="F18" s="2"/>
      <c r="G18" s="8" t="s">
        <v>10</v>
      </c>
      <c r="H18" s="8"/>
      <c r="I18" s="8"/>
      <c r="J18" s="8"/>
      <c r="K18" s="8"/>
      <c r="L18" s="8"/>
      <c r="M18" s="2"/>
      <c r="N18" s="2"/>
    </row>
    <row r="19" customFormat="false" ht="15" hidden="false" customHeight="true" outlineLevel="0" collapsed="false">
      <c r="A19" s="2"/>
      <c r="B19" s="10" t="s">
        <v>11</v>
      </c>
      <c r="C19" s="10"/>
      <c r="D19" s="10"/>
      <c r="E19" s="10"/>
      <c r="F19" s="2"/>
      <c r="G19" s="10" t="n">
        <v>1</v>
      </c>
      <c r="H19" s="10"/>
      <c r="I19" s="10"/>
      <c r="J19" s="10"/>
      <c r="K19" s="10"/>
      <c r="L19" s="10"/>
      <c r="M19" s="2"/>
      <c r="N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true" outlineLevel="0" collapsed="false">
      <c r="A22" s="2"/>
      <c r="B22" s="11" t="s">
        <v>12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2"/>
    </row>
    <row r="23" customFormat="false" ht="14.25" hidden="false" customHeight="true" outlineLevel="0" collapsed="false">
      <c r="A23" s="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2"/>
    </row>
    <row r="24" customFormat="false" ht="14.25" hidden="false" customHeight="true" outlineLevel="0" collapsed="false">
      <c r="A24" s="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13" t="s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27.75" hidden="false" customHeight="true" outlineLevel="0" collapsed="false">
      <c r="A28" s="2"/>
      <c r="B28" s="14" t="n">
        <v>1</v>
      </c>
      <c r="C28" s="15" t="s">
        <v>14</v>
      </c>
      <c r="D28" s="8" t="s">
        <v>15</v>
      </c>
      <c r="E28" s="8"/>
      <c r="F28" s="8"/>
      <c r="G28" s="8"/>
      <c r="H28" s="8"/>
      <c r="I28" s="8"/>
      <c r="J28" s="8"/>
      <c r="K28" s="2"/>
      <c r="L28" s="2"/>
      <c r="M28" s="2"/>
      <c r="N28" s="2"/>
    </row>
    <row r="29" customFormat="false" ht="27.75" hidden="false" customHeight="true" outlineLevel="0" collapsed="false">
      <c r="A29" s="2"/>
      <c r="B29" s="14" t="n">
        <v>2</v>
      </c>
      <c r="C29" s="15" t="s">
        <v>16</v>
      </c>
      <c r="D29" s="8" t="s">
        <v>17</v>
      </c>
      <c r="E29" s="8"/>
      <c r="F29" s="8"/>
      <c r="G29" s="8"/>
      <c r="H29" s="8"/>
      <c r="I29" s="8"/>
      <c r="J29" s="8"/>
      <c r="K29" s="2"/>
      <c r="L29" s="2"/>
      <c r="M29" s="2"/>
      <c r="N29" s="2"/>
    </row>
    <row r="30" customFormat="false" ht="27.75" hidden="false" customHeight="true" outlineLevel="0" collapsed="false">
      <c r="A30" s="2"/>
      <c r="B30" s="14" t="n">
        <v>3</v>
      </c>
      <c r="C30" s="15" t="s">
        <v>18</v>
      </c>
      <c r="D30" s="8" t="s">
        <v>19</v>
      </c>
      <c r="E30" s="8"/>
      <c r="F30" s="8"/>
      <c r="G30" s="8"/>
      <c r="H30" s="8"/>
      <c r="I30" s="8"/>
      <c r="J30" s="8"/>
      <c r="K30" s="2"/>
      <c r="L30" s="2"/>
      <c r="M30" s="2"/>
      <c r="N30" s="2"/>
    </row>
    <row r="31" customFormat="false" ht="27.75" hidden="false" customHeight="true" outlineLevel="0" collapsed="false">
      <c r="A31" s="2"/>
      <c r="B31" s="14" t="n">
        <v>4</v>
      </c>
      <c r="C31" s="15" t="s">
        <v>20</v>
      </c>
      <c r="D31" s="8" t="s">
        <v>21</v>
      </c>
      <c r="E31" s="8"/>
      <c r="F31" s="8"/>
      <c r="G31" s="8"/>
      <c r="H31" s="8"/>
      <c r="I31" s="8"/>
      <c r="J31" s="8"/>
      <c r="K31" s="2"/>
      <c r="L31" s="2"/>
      <c r="M31" s="2"/>
      <c r="N31" s="2"/>
    </row>
    <row r="32" customFormat="false" ht="27.75" hidden="false" customHeight="true" outlineLevel="0" collapsed="false">
      <c r="A32" s="2"/>
      <c r="B32" s="14" t="n">
        <v>5</v>
      </c>
      <c r="C32" s="15" t="s">
        <v>22</v>
      </c>
      <c r="D32" s="8" t="s">
        <v>23</v>
      </c>
      <c r="E32" s="8"/>
      <c r="F32" s="8"/>
      <c r="G32" s="8"/>
      <c r="H32" s="8"/>
      <c r="I32" s="8"/>
      <c r="J32" s="8"/>
      <c r="K32" s="2"/>
      <c r="L32" s="2"/>
      <c r="M32" s="2"/>
      <c r="N32" s="2"/>
    </row>
    <row r="33" customFormat="false" ht="27.75" hidden="false" customHeight="true" outlineLevel="0" collapsed="false">
      <c r="A33" s="2"/>
      <c r="B33" s="14" t="n">
        <v>6</v>
      </c>
      <c r="C33" s="15" t="s">
        <v>24</v>
      </c>
      <c r="D33" s="8" t="s">
        <v>25</v>
      </c>
      <c r="E33" s="8"/>
      <c r="F33" s="8"/>
      <c r="G33" s="8"/>
      <c r="H33" s="8"/>
      <c r="I33" s="8"/>
      <c r="J33" s="8"/>
      <c r="K33" s="2"/>
      <c r="L33" s="2"/>
      <c r="M33" s="2"/>
      <c r="N33" s="2"/>
    </row>
    <row r="34" customFormat="false" ht="27.75" hidden="false" customHeight="true" outlineLevel="0" collapsed="false">
      <c r="A34" s="2"/>
      <c r="B34" s="14" t="n">
        <v>7</v>
      </c>
      <c r="C34" s="15" t="s">
        <v>26</v>
      </c>
      <c r="D34" s="8" t="s">
        <v>27</v>
      </c>
      <c r="E34" s="8"/>
      <c r="F34" s="8"/>
      <c r="G34" s="8"/>
      <c r="H34" s="8"/>
      <c r="I34" s="8"/>
      <c r="J34" s="8"/>
      <c r="K34" s="2"/>
      <c r="L34" s="2"/>
      <c r="M34" s="2"/>
      <c r="N34" s="2"/>
    </row>
    <row r="35" customFormat="false" ht="27.75" hidden="false" customHeight="true" outlineLevel="0" collapsed="false">
      <c r="A35" s="2"/>
      <c r="B35" s="14" t="n">
        <v>8</v>
      </c>
      <c r="C35" s="15" t="s">
        <v>28</v>
      </c>
      <c r="D35" s="8" t="s">
        <v>29</v>
      </c>
      <c r="E35" s="8"/>
      <c r="F35" s="8"/>
      <c r="G35" s="8"/>
      <c r="H35" s="8"/>
      <c r="I35" s="8"/>
      <c r="J35" s="8"/>
      <c r="K35" s="2"/>
      <c r="L35" s="2"/>
      <c r="M35" s="2"/>
      <c r="N35" s="2"/>
    </row>
    <row r="36" customFormat="false" ht="15" hidden="false" customHeight="true" outlineLevel="0" collapsed="false">
      <c r="A36" s="2"/>
      <c r="B36" s="14" t="n">
        <v>9</v>
      </c>
      <c r="C36" s="15" t="s">
        <v>30</v>
      </c>
      <c r="D36" s="8" t="s">
        <v>31</v>
      </c>
      <c r="E36" s="8"/>
      <c r="F36" s="8"/>
      <c r="G36" s="8"/>
      <c r="H36" s="8"/>
      <c r="I36" s="8"/>
      <c r="J36" s="8"/>
      <c r="K36" s="2"/>
      <c r="L36" s="2"/>
      <c r="M36" s="2"/>
      <c r="N36" s="2"/>
    </row>
    <row r="37" customFormat="false" ht="27.75" hidden="false" customHeight="true" outlineLevel="0" collapsed="false">
      <c r="A37" s="2"/>
      <c r="B37" s="14" t="n">
        <v>10</v>
      </c>
      <c r="C37" s="15" t="s">
        <v>32</v>
      </c>
      <c r="D37" s="8" t="s">
        <v>33</v>
      </c>
      <c r="E37" s="8"/>
      <c r="F37" s="8"/>
      <c r="G37" s="8"/>
      <c r="H37" s="8"/>
      <c r="I37" s="8"/>
      <c r="J37" s="8"/>
      <c r="K37" s="2"/>
      <c r="L37" s="2"/>
      <c r="M37" s="2"/>
      <c r="N37" s="2"/>
    </row>
    <row r="38" customFormat="false" ht="27.75" hidden="false" customHeight="true" outlineLevel="0" collapsed="false">
      <c r="A38" s="2"/>
      <c r="B38" s="14" t="n">
        <v>11</v>
      </c>
      <c r="C38" s="15" t="s">
        <v>34</v>
      </c>
      <c r="D38" s="8" t="s">
        <v>35</v>
      </c>
      <c r="E38" s="8"/>
      <c r="F38" s="8"/>
      <c r="G38" s="8"/>
      <c r="H38" s="8"/>
      <c r="I38" s="8"/>
      <c r="J38" s="8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true" outlineLevel="0" collapsed="false">
      <c r="A42" s="2"/>
      <c r="B42" s="6" t="s">
        <v>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</sheetData>
  <mergeCells count="26">
    <mergeCell ref="B4:L4"/>
    <mergeCell ref="B6:L6"/>
    <mergeCell ref="B7:L7"/>
    <mergeCell ref="B9:L9"/>
    <mergeCell ref="B11:L11"/>
    <mergeCell ref="B15:E15"/>
    <mergeCell ref="G15:L15"/>
    <mergeCell ref="B16:E16"/>
    <mergeCell ref="G16:L16"/>
    <mergeCell ref="B18:E18"/>
    <mergeCell ref="G18:L18"/>
    <mergeCell ref="B19:E19"/>
    <mergeCell ref="G19:L19"/>
    <mergeCell ref="B22:L24"/>
    <mergeCell ref="D28:J28"/>
    <mergeCell ref="D29:J29"/>
    <mergeCell ref="D30:J30"/>
    <mergeCell ref="D31:J31"/>
    <mergeCell ref="D32:J32"/>
    <mergeCell ref="D33:J33"/>
    <mergeCell ref="D34:J34"/>
    <mergeCell ref="D35:J35"/>
    <mergeCell ref="D36:J36"/>
    <mergeCell ref="D37:J37"/>
    <mergeCell ref="D38:J38"/>
    <mergeCell ref="B42:L4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45"/>
    <col collapsed="false" customWidth="true" hidden="false" outlineLevel="0" max="4" min="4" style="1" width="5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37</v>
      </c>
      <c r="C2" s="16"/>
      <c r="D2" s="16"/>
      <c r="E2" s="16"/>
      <c r="F2" s="16"/>
      <c r="G2" s="16"/>
      <c r="H2" s="16"/>
      <c r="I2" s="16"/>
      <c r="J2" s="16"/>
      <c r="K2" s="16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2"/>
      <c r="B4" s="17" t="s">
        <v>38</v>
      </c>
      <c r="C4" s="18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45" hidden="false" customHeight="true" outlineLevel="0" collapsed="false">
      <c r="A5" s="2"/>
      <c r="B5" s="2"/>
      <c r="C5" s="19" t="s">
        <v>39</v>
      </c>
      <c r="D5" s="19"/>
      <c r="E5" s="19"/>
      <c r="F5" s="19"/>
      <c r="G5" s="19"/>
      <c r="H5" s="19"/>
      <c r="I5" s="19"/>
      <c r="J5" s="19"/>
      <c r="K5" s="19"/>
      <c r="L5" s="2"/>
      <c r="M5" s="2"/>
      <c r="N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true" outlineLevel="0" collapsed="false">
      <c r="A7" s="2"/>
      <c r="B7" s="17" t="s">
        <v>40</v>
      </c>
      <c r="C7" s="18" t="s">
        <v>41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45" hidden="false" customHeight="true" outlineLevel="0" collapsed="false">
      <c r="A8" s="2"/>
      <c r="B8" s="2"/>
      <c r="C8" s="19" t="s">
        <v>42</v>
      </c>
      <c r="D8" s="19"/>
      <c r="E8" s="19"/>
      <c r="F8" s="19"/>
      <c r="G8" s="19"/>
      <c r="H8" s="19"/>
      <c r="I8" s="19"/>
      <c r="J8" s="19"/>
      <c r="K8" s="19"/>
      <c r="L8" s="2"/>
      <c r="M8" s="2"/>
      <c r="N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true" outlineLevel="0" collapsed="false">
      <c r="A10" s="2"/>
      <c r="B10" s="17" t="s">
        <v>43</v>
      </c>
      <c r="C10" s="18" t="s">
        <v>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45" hidden="false" customHeight="true" outlineLevel="0" collapsed="false">
      <c r="A11" s="2"/>
      <c r="B11" s="2"/>
      <c r="C11" s="19" t="s">
        <v>45</v>
      </c>
      <c r="D11" s="19"/>
      <c r="E11" s="19"/>
      <c r="F11" s="19"/>
      <c r="G11" s="19"/>
      <c r="H11" s="19"/>
      <c r="I11" s="19"/>
      <c r="J11" s="19"/>
      <c r="K11" s="19"/>
      <c r="L11" s="2"/>
      <c r="M11" s="2"/>
      <c r="N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true" outlineLevel="0" collapsed="false">
      <c r="A13" s="2"/>
      <c r="B13" s="17" t="s">
        <v>46</v>
      </c>
      <c r="C13" s="18" t="s">
        <v>47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45" hidden="false" customHeight="true" outlineLevel="0" collapsed="false">
      <c r="A14" s="2"/>
      <c r="B14" s="2"/>
      <c r="C14" s="19" t="s">
        <v>48</v>
      </c>
      <c r="D14" s="19"/>
      <c r="E14" s="19"/>
      <c r="F14" s="19"/>
      <c r="G14" s="19"/>
      <c r="H14" s="19"/>
      <c r="I14" s="19"/>
      <c r="J14" s="19"/>
      <c r="K14" s="19"/>
      <c r="L14" s="2"/>
      <c r="M14" s="2"/>
      <c r="N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true" outlineLevel="0" collapsed="false">
      <c r="A16" s="2"/>
      <c r="B16" s="17" t="s">
        <v>49</v>
      </c>
      <c r="C16" s="18" t="s">
        <v>50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45" hidden="false" customHeight="true" outlineLevel="0" collapsed="false">
      <c r="A17" s="2"/>
      <c r="B17" s="2"/>
      <c r="C17" s="19" t="s">
        <v>51</v>
      </c>
      <c r="D17" s="19"/>
      <c r="E17" s="19"/>
      <c r="F17" s="19"/>
      <c r="G17" s="19"/>
      <c r="H17" s="19"/>
      <c r="I17" s="19"/>
      <c r="J17" s="19"/>
      <c r="K17" s="19"/>
      <c r="L17" s="2"/>
      <c r="M17" s="2"/>
      <c r="N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true" outlineLevel="0" collapsed="false">
      <c r="A19" s="2"/>
      <c r="B19" s="17" t="s">
        <v>52</v>
      </c>
      <c r="C19" s="18" t="s">
        <v>53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45" hidden="false" customHeight="true" outlineLevel="0" collapsed="false">
      <c r="A20" s="2"/>
      <c r="B20" s="2"/>
      <c r="C20" s="19" t="s">
        <v>54</v>
      </c>
      <c r="D20" s="19"/>
      <c r="E20" s="19"/>
      <c r="F20" s="19"/>
      <c r="G20" s="19"/>
      <c r="H20" s="19"/>
      <c r="I20" s="19"/>
      <c r="J20" s="19"/>
      <c r="K20" s="19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true" outlineLevel="0" collapsed="false">
      <c r="A23" s="2"/>
      <c r="B23" s="20" t="s">
        <v>55</v>
      </c>
      <c r="C23" s="20"/>
      <c r="D23" s="20"/>
      <c r="E23" s="20"/>
      <c r="F23" s="20"/>
      <c r="G23" s="20"/>
      <c r="H23" s="20"/>
      <c r="I23" s="20"/>
      <c r="J23" s="20"/>
      <c r="K23" s="20"/>
      <c r="L23" s="2"/>
      <c r="M23" s="2"/>
      <c r="N23" s="2"/>
    </row>
    <row r="24" customFormat="false" ht="15" hidden="false" customHeight="true" outlineLevel="0" collapsed="false">
      <c r="A24" s="2"/>
      <c r="B24" s="2"/>
      <c r="C24" s="21" t="s">
        <v>56</v>
      </c>
      <c r="D24" s="8" t="s">
        <v>57</v>
      </c>
      <c r="E24" s="8"/>
      <c r="F24" s="8"/>
      <c r="G24" s="8"/>
      <c r="H24" s="8"/>
      <c r="I24" s="8"/>
      <c r="J24" s="8"/>
      <c r="K24" s="8"/>
      <c r="L24" s="2"/>
      <c r="M24" s="2"/>
      <c r="N24" s="2"/>
    </row>
    <row r="25" customFormat="false" ht="15" hidden="false" customHeight="true" outlineLevel="0" collapsed="false">
      <c r="A25" s="2"/>
      <c r="B25" s="2"/>
      <c r="C25" s="21" t="s">
        <v>58</v>
      </c>
      <c r="D25" s="8" t="s">
        <v>59</v>
      </c>
      <c r="E25" s="8"/>
      <c r="F25" s="8"/>
      <c r="G25" s="8"/>
      <c r="H25" s="8"/>
      <c r="I25" s="8"/>
      <c r="J25" s="8"/>
      <c r="K25" s="8"/>
      <c r="L25" s="2"/>
      <c r="M25" s="2"/>
      <c r="N25" s="2"/>
    </row>
    <row r="26" customFormat="false" ht="15" hidden="false" customHeight="true" outlineLevel="0" collapsed="false">
      <c r="A26" s="2"/>
      <c r="B26" s="2"/>
      <c r="C26" s="21" t="s">
        <v>60</v>
      </c>
      <c r="D26" s="8" t="s">
        <v>61</v>
      </c>
      <c r="E26" s="8"/>
      <c r="F26" s="8"/>
      <c r="G26" s="8"/>
      <c r="H26" s="8"/>
      <c r="I26" s="8"/>
      <c r="J26" s="8"/>
      <c r="K26" s="8"/>
      <c r="L26" s="2"/>
      <c r="M26" s="2"/>
      <c r="N26" s="2"/>
    </row>
    <row r="27" customFormat="false" ht="15" hidden="false" customHeight="true" outlineLevel="0" collapsed="false">
      <c r="A27" s="2"/>
      <c r="B27" s="2"/>
      <c r="C27" s="21" t="s">
        <v>62</v>
      </c>
      <c r="D27" s="8" t="s">
        <v>63</v>
      </c>
      <c r="E27" s="8"/>
      <c r="F27" s="8"/>
      <c r="G27" s="8"/>
      <c r="H27" s="8"/>
      <c r="I27" s="8"/>
      <c r="J27" s="8"/>
      <c r="K27" s="8"/>
      <c r="L27" s="2"/>
      <c r="M27" s="2"/>
      <c r="N27" s="2"/>
    </row>
    <row r="28" customFormat="false" ht="15" hidden="false" customHeight="true" outlineLevel="0" collapsed="false">
      <c r="A28" s="2"/>
      <c r="B28" s="2"/>
      <c r="C28" s="21" t="s">
        <v>64</v>
      </c>
      <c r="D28" s="8" t="s">
        <v>65</v>
      </c>
      <c r="E28" s="8"/>
      <c r="F28" s="8"/>
      <c r="G28" s="8"/>
      <c r="H28" s="8"/>
      <c r="I28" s="8"/>
      <c r="J28" s="8"/>
      <c r="K28" s="8"/>
      <c r="L28" s="2"/>
      <c r="M28" s="2"/>
      <c r="N28" s="2"/>
    </row>
    <row r="29" customFormat="false" ht="15" hidden="false" customHeight="true" outlineLevel="0" collapsed="false">
      <c r="A29" s="2"/>
      <c r="B29" s="2"/>
      <c r="C29" s="21" t="s">
        <v>66</v>
      </c>
      <c r="D29" s="8" t="s">
        <v>67</v>
      </c>
      <c r="E29" s="8"/>
      <c r="F29" s="8"/>
      <c r="G29" s="8"/>
      <c r="H29" s="8"/>
      <c r="I29" s="8"/>
      <c r="J29" s="8"/>
      <c r="K29" s="8"/>
      <c r="L29" s="2"/>
      <c r="M29" s="2"/>
      <c r="N29" s="2"/>
    </row>
    <row r="30" customFormat="false" ht="15" hidden="false" customHeight="true" outlineLevel="0" collapsed="false">
      <c r="A30" s="2"/>
      <c r="B30" s="2"/>
      <c r="C30" s="21" t="s">
        <v>68</v>
      </c>
      <c r="D30" s="8" t="s">
        <v>69</v>
      </c>
      <c r="E30" s="8"/>
      <c r="F30" s="8"/>
      <c r="G30" s="8"/>
      <c r="H30" s="8"/>
      <c r="I30" s="8"/>
      <c r="J30" s="8"/>
      <c r="K30" s="8"/>
      <c r="L30" s="2"/>
      <c r="M30" s="2"/>
      <c r="N30" s="2"/>
    </row>
    <row r="31" customFormat="false" ht="15" hidden="false" customHeight="true" outlineLevel="0" collapsed="false">
      <c r="A31" s="2"/>
      <c r="B31" s="2"/>
      <c r="C31" s="21" t="s">
        <v>70</v>
      </c>
      <c r="D31" s="8" t="s">
        <v>71</v>
      </c>
      <c r="E31" s="8"/>
      <c r="F31" s="8"/>
      <c r="G31" s="8"/>
      <c r="H31" s="8"/>
      <c r="I31" s="8"/>
      <c r="J31" s="8"/>
      <c r="K31" s="8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mergeCells count="16">
    <mergeCell ref="B2:K2"/>
    <mergeCell ref="C5:K5"/>
    <mergeCell ref="C8:K8"/>
    <mergeCell ref="C11:K11"/>
    <mergeCell ref="C14:K14"/>
    <mergeCell ref="C17:K17"/>
    <mergeCell ref="C20:K20"/>
    <mergeCell ref="B23:K23"/>
    <mergeCell ref="D24:K24"/>
    <mergeCell ref="D25:K25"/>
    <mergeCell ref="D26:K26"/>
    <mergeCell ref="D27:K27"/>
    <mergeCell ref="D28:K28"/>
    <mergeCell ref="D29:K29"/>
    <mergeCell ref="D30:K30"/>
    <mergeCell ref="D31:K3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15" activeCellId="0" sqref="C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7" min="5" style="1" width="14"/>
    <col collapsed="false" customWidth="true" hidden="false" outlineLevel="0" max="9" min="8" style="1" width="22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72</v>
      </c>
      <c r="C2" s="16"/>
      <c r="D2" s="16"/>
      <c r="E2" s="16"/>
      <c r="F2" s="16"/>
      <c r="G2" s="16"/>
      <c r="H2" s="16"/>
      <c r="I2" s="16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3.75" hidden="false" customHeight="true" outlineLevel="0" collapsed="false">
      <c r="A4" s="2"/>
      <c r="B4" s="22" t="s">
        <v>73</v>
      </c>
      <c r="C4" s="23"/>
      <c r="D4" s="23"/>
      <c r="E4" s="23"/>
      <c r="F4" s="23"/>
      <c r="G4" s="23"/>
      <c r="H4" s="23"/>
      <c r="I4" s="23"/>
      <c r="J4" s="2"/>
      <c r="K4" s="2"/>
      <c r="L4" s="2"/>
      <c r="M4" s="2"/>
      <c r="N4" s="2"/>
    </row>
    <row r="5" customFormat="false" ht="34.5" hidden="false" customHeight="true" outlineLevel="0" collapsed="false">
      <c r="A5" s="2"/>
      <c r="B5" s="24" t="s">
        <v>74</v>
      </c>
      <c r="C5" s="25" t="s">
        <v>75</v>
      </c>
      <c r="D5" s="26" t="s">
        <v>76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45.75" hidden="false" customHeight="true" outlineLevel="0" collapsed="false">
      <c r="A6" s="2"/>
      <c r="B6" s="24" t="s">
        <v>77</v>
      </c>
      <c r="C6" s="25" t="s">
        <v>78</v>
      </c>
      <c r="D6" s="26" t="s">
        <v>79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23.25" hidden="false" customHeight="true" outlineLevel="0" collapsed="false">
      <c r="A7" s="2"/>
      <c r="B7" s="24" t="s">
        <v>80</v>
      </c>
      <c r="C7" s="25" t="s">
        <v>81</v>
      </c>
      <c r="D7" s="26" t="s">
        <v>82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34.5" hidden="false" customHeight="true" outlineLevel="0" collapsed="false">
      <c r="A8" s="2"/>
      <c r="B8" s="24" t="s">
        <v>83</v>
      </c>
      <c r="C8" s="27"/>
      <c r="D8" s="26" t="s">
        <v>84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true" outlineLevel="0" collapsed="false">
      <c r="A9" s="2"/>
      <c r="B9" s="24" t="s">
        <v>85</v>
      </c>
      <c r="C9" s="27"/>
      <c r="D9" s="26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true" outlineLevel="0" collapsed="false">
      <c r="A10" s="2"/>
      <c r="B10" s="24" t="s">
        <v>87</v>
      </c>
      <c r="C10" s="28" t="n">
        <v>5</v>
      </c>
      <c r="D10" s="26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27.75" hidden="false" customHeight="true" outlineLevel="0" collapsed="false">
      <c r="A11" s="2"/>
      <c r="B11" s="24" t="s">
        <v>89</v>
      </c>
      <c r="C11" s="29" t="n">
        <v>0</v>
      </c>
      <c r="D11" s="26" t="s">
        <v>90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33.75" hidden="false" customHeight="true" outlineLevel="0" collapsed="false">
      <c r="A13" s="2"/>
      <c r="B13" s="22" t="s">
        <v>91</v>
      </c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</row>
    <row r="14" customFormat="false" ht="14.25" hidden="false" customHeight="true" outlineLevel="0" collapsed="false">
      <c r="A14" s="2"/>
      <c r="B14" s="30" t="s">
        <v>92</v>
      </c>
      <c r="C14" s="30" t="s">
        <v>93</v>
      </c>
      <c r="D14" s="30" t="s">
        <v>94</v>
      </c>
      <c r="E14" s="30" t="s">
        <v>95</v>
      </c>
      <c r="F14" s="30" t="s">
        <v>96</v>
      </c>
      <c r="G14" s="30" t="s">
        <v>97</v>
      </c>
      <c r="H14" s="30" t="s">
        <v>98</v>
      </c>
      <c r="I14" s="2"/>
      <c r="J14" s="2"/>
      <c r="K14" s="2"/>
      <c r="L14" s="2"/>
      <c r="M14" s="2"/>
      <c r="N14" s="2"/>
    </row>
    <row r="15" customFormat="false" ht="27.75" hidden="false" customHeight="true" outlineLevel="0" collapsed="false">
      <c r="A15" s="2"/>
      <c r="B15" s="24" t="s">
        <v>99</v>
      </c>
      <c r="C15" s="31" t="s">
        <v>100</v>
      </c>
      <c r="D15" s="31" t="s">
        <v>101</v>
      </c>
      <c r="E15" s="32" t="n">
        <v>1.5</v>
      </c>
      <c r="F15" s="31" t="s">
        <v>102</v>
      </c>
      <c r="G15" s="31" t="s">
        <v>103</v>
      </c>
      <c r="H15" s="27"/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24" t="s">
        <v>104</v>
      </c>
      <c r="C16" s="31" t="s">
        <v>100</v>
      </c>
      <c r="D16" s="31" t="s">
        <v>105</v>
      </c>
      <c r="E16" s="32" t="n">
        <v>3</v>
      </c>
      <c r="F16" s="31" t="s">
        <v>102</v>
      </c>
      <c r="G16" s="31" t="s">
        <v>103</v>
      </c>
      <c r="H16" s="27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4" t="s">
        <v>106</v>
      </c>
      <c r="C17" s="31" t="s">
        <v>100</v>
      </c>
      <c r="D17" s="31" t="s">
        <v>105</v>
      </c>
      <c r="E17" s="32" t="n">
        <v>2</v>
      </c>
      <c r="F17" s="31" t="s">
        <v>102</v>
      </c>
      <c r="G17" s="31" t="s">
        <v>103</v>
      </c>
      <c r="H17" s="27"/>
      <c r="I17" s="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24" t="s">
        <v>107</v>
      </c>
      <c r="C18" s="31" t="s">
        <v>100</v>
      </c>
      <c r="D18" s="31" t="s">
        <v>108</v>
      </c>
      <c r="E18" s="32" t="n">
        <v>2.5</v>
      </c>
      <c r="F18" s="31" t="s">
        <v>102</v>
      </c>
      <c r="G18" s="31" t="s">
        <v>103</v>
      </c>
      <c r="H18" s="27"/>
      <c r="I18" s="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4" t="s">
        <v>109</v>
      </c>
      <c r="C19" s="31" t="s">
        <v>100</v>
      </c>
      <c r="D19" s="31" t="s">
        <v>110</v>
      </c>
      <c r="E19" s="32" t="n">
        <v>3</v>
      </c>
      <c r="F19" s="31" t="s">
        <v>102</v>
      </c>
      <c r="G19" s="31" t="s">
        <v>103</v>
      </c>
      <c r="H19" s="27"/>
      <c r="I19" s="2"/>
      <c r="J19" s="2"/>
      <c r="K19" s="2"/>
      <c r="L19" s="2"/>
      <c r="M19" s="2"/>
      <c r="N19" s="2"/>
    </row>
    <row r="20" customFormat="false" ht="27.75" hidden="false" customHeight="true" outlineLevel="0" collapsed="false">
      <c r="A20" s="2"/>
      <c r="B20" s="24" t="s">
        <v>111</v>
      </c>
      <c r="C20" s="31" t="s">
        <v>100</v>
      </c>
      <c r="D20" s="31" t="s">
        <v>112</v>
      </c>
      <c r="E20" s="32" t="n">
        <v>2</v>
      </c>
      <c r="F20" s="31" t="s">
        <v>102</v>
      </c>
      <c r="G20" s="31" t="s">
        <v>113</v>
      </c>
      <c r="H20" s="27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4" t="s">
        <v>114</v>
      </c>
      <c r="C21" s="31" t="s">
        <v>115</v>
      </c>
      <c r="D21" s="31" t="s">
        <v>116</v>
      </c>
      <c r="E21" s="32" t="n">
        <v>0.5</v>
      </c>
      <c r="F21" s="31" t="s">
        <v>117</v>
      </c>
      <c r="G21" s="31" t="s">
        <v>118</v>
      </c>
      <c r="H21" s="27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4" t="s">
        <v>119</v>
      </c>
      <c r="C22" s="31" t="s">
        <v>115</v>
      </c>
      <c r="D22" s="31" t="s">
        <v>120</v>
      </c>
      <c r="E22" s="32" t="n">
        <v>0.5</v>
      </c>
      <c r="F22" s="31" t="s">
        <v>117</v>
      </c>
      <c r="G22" s="31" t="s">
        <v>118</v>
      </c>
      <c r="H22" s="27"/>
      <c r="I22" s="2"/>
      <c r="J22" s="2"/>
      <c r="K22" s="2"/>
      <c r="L22" s="2"/>
      <c r="M22" s="2"/>
      <c r="N22" s="2"/>
    </row>
    <row r="23" customFormat="false" ht="27.75" hidden="false" customHeight="true" outlineLevel="0" collapsed="false">
      <c r="A23" s="2"/>
      <c r="B23" s="24" t="s">
        <v>121</v>
      </c>
      <c r="C23" s="31" t="s">
        <v>115</v>
      </c>
      <c r="D23" s="31" t="s">
        <v>122</v>
      </c>
      <c r="E23" s="32" t="n">
        <v>1</v>
      </c>
      <c r="F23" s="31" t="s">
        <v>117</v>
      </c>
      <c r="G23" s="31" t="s">
        <v>123</v>
      </c>
      <c r="H23" s="27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4" t="s">
        <v>124</v>
      </c>
      <c r="C24" s="31" t="s">
        <v>125</v>
      </c>
      <c r="D24" s="31" t="s">
        <v>126</v>
      </c>
      <c r="E24" s="32" t="n">
        <v>0.5</v>
      </c>
      <c r="F24" s="31" t="s">
        <v>127</v>
      </c>
      <c r="G24" s="31" t="s">
        <v>113</v>
      </c>
      <c r="H24" s="27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4" t="s">
        <v>128</v>
      </c>
      <c r="C25" s="31" t="s">
        <v>125</v>
      </c>
      <c r="D25" s="31" t="s">
        <v>129</v>
      </c>
      <c r="E25" s="32" t="n">
        <v>0.5</v>
      </c>
      <c r="F25" s="31" t="s">
        <v>127</v>
      </c>
      <c r="G25" s="31" t="s">
        <v>113</v>
      </c>
      <c r="H25" s="27"/>
      <c r="I25" s="2"/>
      <c r="J25" s="2"/>
      <c r="K25" s="2"/>
      <c r="L25" s="2"/>
      <c r="M25" s="2"/>
      <c r="N25" s="2"/>
    </row>
    <row r="26" customFormat="false" ht="27.75" hidden="false" customHeight="true" outlineLevel="0" collapsed="false">
      <c r="A26" s="2"/>
      <c r="B26" s="24" t="s">
        <v>130</v>
      </c>
      <c r="C26" s="31" t="s">
        <v>125</v>
      </c>
      <c r="D26" s="31" t="s">
        <v>120</v>
      </c>
      <c r="E26" s="32" t="n">
        <v>0.5</v>
      </c>
      <c r="F26" s="31" t="s">
        <v>127</v>
      </c>
      <c r="G26" s="31" t="s">
        <v>118</v>
      </c>
      <c r="H26" s="27"/>
      <c r="I26" s="2"/>
      <c r="J26" s="2"/>
      <c r="K26" s="2"/>
      <c r="L26" s="2"/>
      <c r="M26" s="2"/>
      <c r="N26" s="2"/>
    </row>
    <row r="27" customFormat="false" ht="15" hidden="false" customHeight="true" outlineLevel="0" collapsed="false">
      <c r="A27" s="2"/>
      <c r="B27" s="33" t="s">
        <v>131</v>
      </c>
      <c r="C27" s="34" t="n">
        <f aca="false">COUNTIF(C15:C26,"In Scope")</f>
        <v>6</v>
      </c>
      <c r="D27" s="35"/>
      <c r="E27" s="36" t="n">
        <f aca="false">SUMIF(C15:C26,"In Scope",E15:E26)</f>
        <v>14</v>
      </c>
      <c r="F27" s="37"/>
      <c r="G27" s="37"/>
      <c r="H27" s="37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33.75" hidden="false" customHeight="true" outlineLevel="0" collapsed="false">
      <c r="A29" s="2"/>
      <c r="B29" s="22" t="s">
        <v>132</v>
      </c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</row>
    <row r="30" customFormat="false" ht="23.25" hidden="false" customHeight="true" outlineLevel="0" collapsed="false">
      <c r="A30" s="2"/>
      <c r="B30" s="24" t="s">
        <v>133</v>
      </c>
      <c r="C30" s="29" t="n">
        <v>0</v>
      </c>
      <c r="D30" s="26" t="s">
        <v>134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23.25" hidden="false" customHeight="true" outlineLevel="0" collapsed="false">
      <c r="A31" s="2"/>
      <c r="B31" s="24" t="s">
        <v>135</v>
      </c>
      <c r="C31" s="29" t="n">
        <v>0</v>
      </c>
      <c r="D31" s="26" t="s">
        <v>136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23.25" hidden="false" customHeight="true" outlineLevel="0" collapsed="false">
      <c r="A32" s="2"/>
      <c r="B32" s="24" t="s">
        <v>137</v>
      </c>
      <c r="C32" s="29" t="n">
        <v>0</v>
      </c>
      <c r="D32" s="26" t="s">
        <v>138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27.75" hidden="false" customHeight="true" outlineLevel="0" collapsed="false">
      <c r="A33" s="2"/>
      <c r="B33" s="24" t="s">
        <v>139</v>
      </c>
      <c r="C33" s="29" t="n">
        <v>0</v>
      </c>
      <c r="D33" s="26" t="s">
        <v>140</v>
      </c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23.25" hidden="false" customHeight="true" outlineLevel="0" collapsed="false">
      <c r="A34" s="2"/>
      <c r="B34" s="24" t="s">
        <v>141</v>
      </c>
      <c r="C34" s="29" t="n">
        <v>0</v>
      </c>
      <c r="D34" s="26" t="s">
        <v>142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4" t="s">
        <v>143</v>
      </c>
      <c r="C35" s="29" t="n">
        <v>0</v>
      </c>
      <c r="D35" s="26" t="s">
        <v>144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27.75" hidden="false" customHeight="true" outlineLevel="0" collapsed="false">
      <c r="A36" s="2"/>
      <c r="B36" s="24" t="s">
        <v>145</v>
      </c>
      <c r="C36" s="29" t="n">
        <v>0</v>
      </c>
      <c r="D36" s="26" t="s">
        <v>146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23.25" hidden="false" customHeight="true" outlineLevel="0" collapsed="false">
      <c r="A37" s="2"/>
      <c r="B37" s="24" t="s">
        <v>147</v>
      </c>
      <c r="C37" s="38" t="n">
        <v>0</v>
      </c>
      <c r="D37" s="26" t="s">
        <v>148</v>
      </c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34.5" hidden="false" customHeight="true" outlineLevel="0" collapsed="false">
      <c r="A38" s="2"/>
      <c r="B38" s="24" t="s">
        <v>149</v>
      </c>
      <c r="C38" s="38" t="n">
        <v>0</v>
      </c>
      <c r="D38" s="26" t="s">
        <v>150</v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1">
    <mergeCell ref="B2:I2"/>
  </mergeCells>
  <dataValidations count="4">
    <dataValidation allowBlank="true" errorStyle="stop" operator="between" showDropDown="false" showErrorMessage="false" showInputMessage="false" sqref="C15:C26" type="list">
      <formula1>Dropdowns!$C$3:$C$5</formula1>
      <formula2>0</formula2>
    </dataValidation>
    <dataValidation allowBlank="true" errorStyle="stop" operator="between" showDropDown="false" showErrorMessage="false" showInputMessage="false" sqref="G15:G26" type="list">
      <formula1>Dropdowns!$D$3:$D$6</formula1>
      <formula2>0</formula2>
    </dataValidation>
    <dataValidation allowBlank="true" errorStyle="stop" operator="between" showDropDown="false" showErrorMessage="false" showInputMessage="false" sqref="F15:F26" type="list">
      <formula1>Dropdowns!$E$3:$E$5</formula1>
      <formula2>0</formula2>
    </dataValidation>
    <dataValidation allowBlank="true" errorStyle="stop" operator="between" showDropDown="false" showErrorMessage="false" showInputMessage="false" sqref="C5" type="list">
      <formula1>Dropdowns!$A$3:$A$7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151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3.25" hidden="false" customHeight="true" outlineLevel="0" collapsed="false">
      <c r="A4" s="2"/>
      <c r="B4" s="30" t="s">
        <v>152</v>
      </c>
      <c r="C4" s="30" t="s">
        <v>153</v>
      </c>
      <c r="D4" s="30" t="s">
        <v>154</v>
      </c>
      <c r="E4" s="30" t="s">
        <v>155</v>
      </c>
      <c r="F4" s="30" t="s">
        <v>156</v>
      </c>
      <c r="G4" s="30" t="s">
        <v>157</v>
      </c>
      <c r="H4" s="30" t="s">
        <v>158</v>
      </c>
      <c r="I4" s="2"/>
      <c r="J4" s="2"/>
      <c r="K4" s="2"/>
      <c r="L4" s="2"/>
      <c r="M4" s="2"/>
      <c r="N4" s="2"/>
    </row>
    <row r="5" customFormat="false" ht="34.5" hidden="false" customHeight="true" outlineLevel="0" collapsed="false">
      <c r="A5" s="2"/>
      <c r="B5" s="39" t="s">
        <v>159</v>
      </c>
      <c r="C5" s="40" t="s">
        <v>160</v>
      </c>
      <c r="D5" s="40" t="s">
        <v>161</v>
      </c>
      <c r="E5" s="41" t="s">
        <v>162</v>
      </c>
      <c r="F5" s="41" t="s">
        <v>163</v>
      </c>
      <c r="G5" s="40" t="s">
        <v>164</v>
      </c>
      <c r="H5" s="42"/>
      <c r="I5" s="2"/>
      <c r="J5" s="2"/>
      <c r="K5" s="2"/>
      <c r="L5" s="2"/>
      <c r="M5" s="2"/>
      <c r="N5" s="2"/>
    </row>
    <row r="6" customFormat="false" ht="34.5" hidden="false" customHeight="true" outlineLevel="0" collapsed="false">
      <c r="A6" s="2"/>
      <c r="B6" s="39" t="s">
        <v>165</v>
      </c>
      <c r="C6" s="40" t="s">
        <v>166</v>
      </c>
      <c r="D6" s="40" t="s">
        <v>167</v>
      </c>
      <c r="E6" s="41" t="s">
        <v>168</v>
      </c>
      <c r="F6" s="41" t="s">
        <v>169</v>
      </c>
      <c r="G6" s="40" t="s">
        <v>170</v>
      </c>
      <c r="H6" s="42"/>
      <c r="I6" s="2"/>
      <c r="J6" s="2"/>
      <c r="K6" s="2"/>
      <c r="L6" s="2"/>
      <c r="M6" s="2"/>
      <c r="N6" s="2"/>
    </row>
    <row r="7" customFormat="false" ht="23.25" hidden="false" customHeight="true" outlineLevel="0" collapsed="false">
      <c r="A7" s="2"/>
      <c r="B7" s="39" t="s">
        <v>171</v>
      </c>
      <c r="C7" s="40" t="s">
        <v>160</v>
      </c>
      <c r="D7" s="40" t="s">
        <v>172</v>
      </c>
      <c r="E7" s="41" t="s">
        <v>173</v>
      </c>
      <c r="F7" s="41" t="s">
        <v>174</v>
      </c>
      <c r="G7" s="40" t="s">
        <v>175</v>
      </c>
      <c r="H7" s="42"/>
      <c r="I7" s="2"/>
      <c r="J7" s="2"/>
      <c r="K7" s="2"/>
      <c r="L7" s="2"/>
      <c r="M7" s="2"/>
      <c r="N7" s="2"/>
    </row>
    <row r="8" customFormat="false" ht="34.5" hidden="false" customHeight="true" outlineLevel="0" collapsed="false">
      <c r="A8" s="2"/>
      <c r="B8" s="39" t="s">
        <v>176</v>
      </c>
      <c r="C8" s="40" t="s">
        <v>177</v>
      </c>
      <c r="D8" s="40" t="s">
        <v>178</v>
      </c>
      <c r="E8" s="41" t="s">
        <v>179</v>
      </c>
      <c r="F8" s="41" t="s">
        <v>180</v>
      </c>
      <c r="G8" s="40" t="s">
        <v>181</v>
      </c>
      <c r="H8" s="42"/>
      <c r="I8" s="2"/>
      <c r="J8" s="2"/>
      <c r="K8" s="2"/>
      <c r="L8" s="2"/>
      <c r="M8" s="2"/>
      <c r="N8" s="2"/>
    </row>
    <row r="9" customFormat="false" ht="34.5" hidden="false" customHeight="true" outlineLevel="0" collapsed="false">
      <c r="A9" s="2"/>
      <c r="B9" s="39" t="s">
        <v>182</v>
      </c>
      <c r="C9" s="40" t="s">
        <v>183</v>
      </c>
      <c r="D9" s="40" t="s">
        <v>184</v>
      </c>
      <c r="E9" s="41" t="s">
        <v>185</v>
      </c>
      <c r="F9" s="41" t="s">
        <v>186</v>
      </c>
      <c r="G9" s="40" t="s">
        <v>187</v>
      </c>
      <c r="H9" s="42"/>
      <c r="I9" s="2"/>
      <c r="J9" s="2"/>
      <c r="K9" s="2"/>
      <c r="L9" s="2"/>
      <c r="M9" s="2"/>
      <c r="N9" s="2"/>
    </row>
    <row r="10" customFormat="false" ht="34.5" hidden="false" customHeight="true" outlineLevel="0" collapsed="false">
      <c r="A10" s="2"/>
      <c r="B10" s="39" t="s">
        <v>188</v>
      </c>
      <c r="C10" s="40" t="s">
        <v>183</v>
      </c>
      <c r="D10" s="40" t="s">
        <v>189</v>
      </c>
      <c r="E10" s="41" t="s">
        <v>190</v>
      </c>
      <c r="F10" s="41" t="s">
        <v>191</v>
      </c>
      <c r="G10" s="40" t="s">
        <v>192</v>
      </c>
      <c r="H10" s="42"/>
      <c r="I10" s="2"/>
      <c r="J10" s="2"/>
      <c r="K10" s="2"/>
      <c r="L10" s="2"/>
      <c r="M10" s="2"/>
      <c r="N10" s="2"/>
    </row>
    <row r="11" customFormat="false" ht="34.5" hidden="false" customHeight="true" outlineLevel="0" collapsed="false">
      <c r="A11" s="2"/>
      <c r="B11" s="39" t="s">
        <v>193</v>
      </c>
      <c r="C11" s="40" t="s">
        <v>166</v>
      </c>
      <c r="D11" s="40" t="s">
        <v>194</v>
      </c>
      <c r="E11" s="41" t="s">
        <v>195</v>
      </c>
      <c r="F11" s="41" t="s">
        <v>196</v>
      </c>
      <c r="G11" s="40" t="s">
        <v>170</v>
      </c>
      <c r="H11" s="42"/>
      <c r="I11" s="2"/>
      <c r="J11" s="2"/>
      <c r="K11" s="2"/>
      <c r="L11" s="2"/>
      <c r="M11" s="2"/>
      <c r="N11" s="2"/>
    </row>
    <row r="12" customFormat="false" ht="34.5" hidden="false" customHeight="true" outlineLevel="0" collapsed="false">
      <c r="A12" s="2"/>
      <c r="B12" s="39" t="s">
        <v>197</v>
      </c>
      <c r="C12" s="40" t="s">
        <v>160</v>
      </c>
      <c r="D12" s="40" t="s">
        <v>198</v>
      </c>
      <c r="E12" s="41" t="s">
        <v>199</v>
      </c>
      <c r="F12" s="41" t="s">
        <v>200</v>
      </c>
      <c r="G12" s="40" t="s">
        <v>181</v>
      </c>
      <c r="H12" s="42"/>
      <c r="I12" s="2"/>
      <c r="J12" s="2"/>
      <c r="K12" s="2"/>
      <c r="L12" s="2"/>
      <c r="M12" s="2"/>
      <c r="N12" s="2"/>
    </row>
    <row r="13" customFormat="false" ht="23.25" hidden="false" customHeight="true" outlineLevel="0" collapsed="false">
      <c r="A13" s="2"/>
      <c r="B13" s="39" t="s">
        <v>201</v>
      </c>
      <c r="C13" s="40" t="s">
        <v>202</v>
      </c>
      <c r="D13" s="40" t="s">
        <v>203</v>
      </c>
      <c r="E13" s="41" t="s">
        <v>204</v>
      </c>
      <c r="F13" s="41" t="s">
        <v>205</v>
      </c>
      <c r="G13" s="40" t="s">
        <v>170</v>
      </c>
      <c r="H13" s="42"/>
      <c r="I13" s="2"/>
      <c r="J13" s="2"/>
      <c r="K13" s="2"/>
      <c r="L13" s="2"/>
      <c r="M13" s="2"/>
      <c r="N13" s="2"/>
    </row>
    <row r="14" customFormat="false" ht="23.25" hidden="false" customHeight="true" outlineLevel="0" collapsed="false">
      <c r="A14" s="2"/>
      <c r="B14" s="39" t="s">
        <v>206</v>
      </c>
      <c r="C14" s="40" t="s">
        <v>207</v>
      </c>
      <c r="D14" s="40" t="s">
        <v>208</v>
      </c>
      <c r="E14" s="41" t="s">
        <v>209</v>
      </c>
      <c r="F14" s="41" t="s">
        <v>210</v>
      </c>
      <c r="G14" s="40" t="s">
        <v>192</v>
      </c>
      <c r="H14" s="42"/>
      <c r="I14" s="2"/>
      <c r="J14" s="2"/>
      <c r="K14" s="2"/>
      <c r="L14" s="2"/>
      <c r="M14" s="2"/>
      <c r="N14" s="2"/>
    </row>
    <row r="15" customFormat="false" ht="23.25" hidden="false" customHeight="true" outlineLevel="0" collapsed="false">
      <c r="A15" s="2"/>
      <c r="B15" s="39" t="s">
        <v>211</v>
      </c>
      <c r="C15" s="40" t="s">
        <v>207</v>
      </c>
      <c r="D15" s="40" t="s">
        <v>184</v>
      </c>
      <c r="E15" s="41" t="s">
        <v>212</v>
      </c>
      <c r="F15" s="41" t="s">
        <v>213</v>
      </c>
      <c r="G15" s="40" t="s">
        <v>214</v>
      </c>
      <c r="H15" s="42"/>
      <c r="I15" s="2"/>
      <c r="J15" s="2"/>
      <c r="K15" s="2"/>
      <c r="L15" s="2"/>
      <c r="M15" s="2"/>
      <c r="N15" s="2"/>
    </row>
    <row r="16" customFormat="false" ht="34.5" hidden="false" customHeight="true" outlineLevel="0" collapsed="false">
      <c r="A16" s="2"/>
      <c r="B16" s="39" t="s">
        <v>215</v>
      </c>
      <c r="C16" s="40" t="s">
        <v>216</v>
      </c>
      <c r="D16" s="40" t="s">
        <v>217</v>
      </c>
      <c r="E16" s="41" t="s">
        <v>218</v>
      </c>
      <c r="F16" s="41" t="s">
        <v>219</v>
      </c>
      <c r="G16" s="40" t="s">
        <v>220</v>
      </c>
      <c r="H16" s="42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true" outlineLevel="0" collapsed="false">
      <c r="A18" s="2"/>
      <c r="B18" s="43" t="s">
        <v>221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2"/>
      <c r="N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B2:L2"/>
    <mergeCell ref="B18:L18"/>
  </mergeCells>
  <dataValidations count="1">
    <dataValidation allowBlank="true" errorStyle="stop" operator="between" showDropDown="false" showErrorMessage="false" showInputMessage="false" sqref="H5:H16" type="list">
      <formula1>Dropdowns!$G$3:$G$5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8" min="4" style="1" width="1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222</v>
      </c>
      <c r="C2" s="16"/>
      <c r="D2" s="16"/>
      <c r="E2" s="16"/>
      <c r="F2" s="16"/>
      <c r="G2" s="16"/>
      <c r="H2" s="16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44" t="s">
        <v>223</v>
      </c>
      <c r="C4" s="30" t="s">
        <v>224</v>
      </c>
      <c r="D4" s="45" t="s">
        <v>225</v>
      </c>
      <c r="E4" s="45" t="s">
        <v>226</v>
      </c>
      <c r="F4" s="45" t="s">
        <v>227</v>
      </c>
      <c r="G4" s="45" t="s">
        <v>228</v>
      </c>
      <c r="H4" s="45" t="s">
        <v>229</v>
      </c>
      <c r="I4" s="2"/>
      <c r="J4" s="2"/>
      <c r="K4" s="2"/>
      <c r="L4" s="2"/>
      <c r="M4" s="2"/>
      <c r="N4" s="2"/>
    </row>
    <row r="5" customFormat="false" ht="23.25" hidden="false" customHeight="true" outlineLevel="0" collapsed="false">
      <c r="A5" s="2"/>
      <c r="B5" s="26" t="s">
        <v>230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27.75" hidden="false" customHeight="true" outlineLevel="0" collapsed="false">
      <c r="A6" s="2"/>
      <c r="B6" s="46" t="s">
        <v>231</v>
      </c>
      <c r="C6" s="47" t="n">
        <v>0.3</v>
      </c>
      <c r="D6" s="48"/>
      <c r="E6" s="48"/>
      <c r="F6" s="48"/>
      <c r="G6" s="48"/>
      <c r="H6" s="48"/>
      <c r="I6" s="2"/>
      <c r="J6" s="2"/>
      <c r="K6" s="2"/>
      <c r="L6" s="2"/>
      <c r="M6" s="2"/>
      <c r="N6" s="2"/>
    </row>
    <row r="7" customFormat="false" ht="23.25" hidden="false" customHeight="true" outlineLevel="0" collapsed="false">
      <c r="A7" s="2"/>
      <c r="B7" s="49" t="s">
        <v>232</v>
      </c>
      <c r="C7" s="50" t="n">
        <v>0.2</v>
      </c>
      <c r="D7" s="42"/>
      <c r="E7" s="42"/>
      <c r="F7" s="42"/>
      <c r="G7" s="42"/>
      <c r="H7" s="42"/>
      <c r="I7" s="2"/>
      <c r="J7" s="2"/>
      <c r="K7" s="2"/>
      <c r="L7" s="2"/>
      <c r="M7" s="2"/>
      <c r="N7" s="2"/>
    </row>
    <row r="8" customFormat="false" ht="14.25" hidden="false" customHeight="true" outlineLevel="0" collapsed="false">
      <c r="A8" s="2"/>
      <c r="B8" s="49" t="s">
        <v>233</v>
      </c>
      <c r="C8" s="50" t="n">
        <v>0.15</v>
      </c>
      <c r="D8" s="42"/>
      <c r="E8" s="42"/>
      <c r="F8" s="42"/>
      <c r="G8" s="42"/>
      <c r="H8" s="42"/>
      <c r="I8" s="2"/>
      <c r="J8" s="2"/>
      <c r="K8" s="2"/>
      <c r="L8" s="2"/>
      <c r="M8" s="2"/>
      <c r="N8" s="2"/>
    </row>
    <row r="9" customFormat="false" ht="23.25" hidden="false" customHeight="true" outlineLevel="0" collapsed="false">
      <c r="A9" s="2"/>
      <c r="B9" s="49" t="s">
        <v>234</v>
      </c>
      <c r="C9" s="50" t="n">
        <v>0.15</v>
      </c>
      <c r="D9" s="42"/>
      <c r="E9" s="42"/>
      <c r="F9" s="42"/>
      <c r="G9" s="42"/>
      <c r="H9" s="42"/>
      <c r="I9" s="2"/>
      <c r="J9" s="2"/>
      <c r="K9" s="2"/>
      <c r="L9" s="2"/>
      <c r="M9" s="2"/>
      <c r="N9" s="2"/>
    </row>
    <row r="10" customFormat="false" ht="23.25" hidden="false" customHeight="true" outlineLevel="0" collapsed="false">
      <c r="A10" s="2"/>
      <c r="B10" s="49" t="s">
        <v>235</v>
      </c>
      <c r="C10" s="50" t="n">
        <v>0.15</v>
      </c>
      <c r="D10" s="42"/>
      <c r="E10" s="42"/>
      <c r="F10" s="42"/>
      <c r="G10" s="42"/>
      <c r="H10" s="42"/>
      <c r="I10" s="2"/>
      <c r="J10" s="2"/>
      <c r="K10" s="2"/>
      <c r="L10" s="2"/>
      <c r="M10" s="2"/>
      <c r="N10" s="2"/>
    </row>
    <row r="11" customFormat="false" ht="23.25" hidden="false" customHeight="true" outlineLevel="0" collapsed="false">
      <c r="A11" s="2"/>
      <c r="B11" s="49" t="s">
        <v>236</v>
      </c>
      <c r="C11" s="50" t="n">
        <v>0.15</v>
      </c>
      <c r="D11" s="42"/>
      <c r="E11" s="42"/>
      <c r="F11" s="42"/>
      <c r="G11" s="42"/>
      <c r="H11" s="42"/>
      <c r="I11" s="2"/>
      <c r="J11" s="2"/>
      <c r="K11" s="2"/>
      <c r="L11" s="2"/>
      <c r="M11" s="2"/>
      <c r="N11" s="2"/>
    </row>
    <row r="12" customFormat="false" ht="23.25" hidden="false" customHeight="true" outlineLevel="0" collapsed="false">
      <c r="A12" s="2"/>
      <c r="B12" s="49" t="s">
        <v>237</v>
      </c>
      <c r="C12" s="50" t="n">
        <v>0.1</v>
      </c>
      <c r="D12" s="42"/>
      <c r="E12" s="42"/>
      <c r="F12" s="42"/>
      <c r="G12" s="42"/>
      <c r="H12" s="42"/>
      <c r="I12" s="2"/>
      <c r="J12" s="2"/>
      <c r="K12" s="2"/>
      <c r="L12" s="2"/>
      <c r="M12" s="2"/>
      <c r="N12" s="2"/>
    </row>
    <row r="13" customFormat="false" ht="23.25" hidden="false" customHeight="true" outlineLevel="0" collapsed="false">
      <c r="A13" s="2"/>
      <c r="B13" s="49" t="s">
        <v>238</v>
      </c>
      <c r="C13" s="50" t="n">
        <v>0.1</v>
      </c>
      <c r="D13" s="42"/>
      <c r="E13" s="42"/>
      <c r="F13" s="42"/>
      <c r="G13" s="42"/>
      <c r="H13" s="42"/>
      <c r="I13" s="2"/>
      <c r="J13" s="2"/>
      <c r="K13" s="2"/>
      <c r="L13" s="2"/>
      <c r="M13" s="2"/>
      <c r="N13" s="2"/>
    </row>
    <row r="14" customFormat="false" ht="27.75" hidden="false" customHeight="true" outlineLevel="0" collapsed="false">
      <c r="A14" s="2"/>
      <c r="B14" s="51" t="s">
        <v>239</v>
      </c>
      <c r="C14" s="37"/>
      <c r="D14" s="52" t="n">
        <f aca="false">(D7*C7+D8*C8+D9*C9+D10*C10+D11*C11+D12*C12+D13*C13)*C6</f>
        <v>0</v>
      </c>
      <c r="E14" s="52" t="n">
        <f aca="false">(E7*C7+E8*C8+E9*C9+E10*C10+E11*C11+E12*C12+E13*C13)*C6</f>
        <v>0</v>
      </c>
      <c r="F14" s="52" t="n">
        <f aca="false">(F7*C7+F8*C8+F9*C9+F10*C10+F11*C11+F12*C12+F13*C13)*C6</f>
        <v>0</v>
      </c>
      <c r="G14" s="52" t="n">
        <f aca="false">(G7*C7+G8*C8+G9*C9+G10*C10+G11*C11+G12*C12+G13*C13)*C6</f>
        <v>0</v>
      </c>
      <c r="H14" s="52" t="n">
        <f aca="false">(H7*C7+H8*C8+H9*C9+H10*C10+H11*C11+H12*C12+H13*C13)*C6</f>
        <v>0</v>
      </c>
      <c r="I14" s="2"/>
      <c r="J14" s="2"/>
      <c r="K14" s="2"/>
      <c r="L14" s="2"/>
      <c r="M14" s="2"/>
      <c r="N14" s="2"/>
    </row>
    <row r="15" customFormat="false" ht="27.75" hidden="false" customHeight="true" outlineLevel="0" collapsed="false">
      <c r="A15" s="2"/>
      <c r="B15" s="53" t="s">
        <v>240</v>
      </c>
      <c r="C15" s="54" t="n">
        <v>0.25</v>
      </c>
      <c r="D15" s="55"/>
      <c r="E15" s="55"/>
      <c r="F15" s="55"/>
      <c r="G15" s="55"/>
      <c r="H15" s="55"/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49" t="s">
        <v>241</v>
      </c>
      <c r="C16" s="50" t="n">
        <v>0.25</v>
      </c>
      <c r="D16" s="42"/>
      <c r="E16" s="42"/>
      <c r="F16" s="42"/>
      <c r="G16" s="42"/>
      <c r="H16" s="42"/>
      <c r="I16" s="2"/>
      <c r="J16" s="2"/>
      <c r="K16" s="2"/>
      <c r="L16" s="2"/>
      <c r="M16" s="2"/>
      <c r="N16" s="2"/>
    </row>
    <row r="17" customFormat="false" ht="23.25" hidden="false" customHeight="true" outlineLevel="0" collapsed="false">
      <c r="A17" s="2"/>
      <c r="B17" s="49" t="s">
        <v>242</v>
      </c>
      <c r="C17" s="50" t="n">
        <v>0.25</v>
      </c>
      <c r="D17" s="42"/>
      <c r="E17" s="42"/>
      <c r="F17" s="42"/>
      <c r="G17" s="42"/>
      <c r="H17" s="42"/>
      <c r="I17" s="2"/>
      <c r="J17" s="2"/>
      <c r="K17" s="2"/>
      <c r="L17" s="2"/>
      <c r="M17" s="2"/>
      <c r="N17" s="2"/>
    </row>
    <row r="18" customFormat="false" ht="23.25" hidden="false" customHeight="true" outlineLevel="0" collapsed="false">
      <c r="A18" s="2"/>
      <c r="B18" s="49" t="s">
        <v>243</v>
      </c>
      <c r="C18" s="50" t="n">
        <v>0.2</v>
      </c>
      <c r="D18" s="42"/>
      <c r="E18" s="42"/>
      <c r="F18" s="42"/>
      <c r="G18" s="42"/>
      <c r="H18" s="42"/>
      <c r="I18" s="2"/>
      <c r="J18" s="2"/>
      <c r="K18" s="2"/>
      <c r="L18" s="2"/>
      <c r="M18" s="2"/>
      <c r="N18" s="2"/>
    </row>
    <row r="19" customFormat="false" ht="23.25" hidden="false" customHeight="true" outlineLevel="0" collapsed="false">
      <c r="A19" s="2"/>
      <c r="B19" s="49" t="s">
        <v>244</v>
      </c>
      <c r="C19" s="50" t="n">
        <v>0.15</v>
      </c>
      <c r="D19" s="42"/>
      <c r="E19" s="42"/>
      <c r="F19" s="42"/>
      <c r="G19" s="42"/>
      <c r="H19" s="42"/>
      <c r="I19" s="2"/>
      <c r="J19" s="2"/>
      <c r="K19" s="2"/>
      <c r="L19" s="2"/>
      <c r="M19" s="2"/>
      <c r="N19" s="2"/>
    </row>
    <row r="20" customFormat="false" ht="23.25" hidden="false" customHeight="true" outlineLevel="0" collapsed="false">
      <c r="A20" s="2"/>
      <c r="B20" s="49" t="s">
        <v>245</v>
      </c>
      <c r="C20" s="50" t="n">
        <v>0.15</v>
      </c>
      <c r="D20" s="42"/>
      <c r="E20" s="42"/>
      <c r="F20" s="42"/>
      <c r="G20" s="42"/>
      <c r="H20" s="42"/>
      <c r="I20" s="2"/>
      <c r="J20" s="2"/>
      <c r="K20" s="2"/>
      <c r="L20" s="2"/>
      <c r="M20" s="2"/>
      <c r="N20" s="2"/>
    </row>
    <row r="21" customFormat="false" ht="27.75" hidden="false" customHeight="true" outlineLevel="0" collapsed="false">
      <c r="A21" s="2"/>
      <c r="B21" s="56" t="s">
        <v>246</v>
      </c>
      <c r="C21" s="37"/>
      <c r="D21" s="57" t="n">
        <f aca="false">(D16*C16+D17*C17+D18*C18+D19*C19+D20*C20)*C15</f>
        <v>0</v>
      </c>
      <c r="E21" s="57" t="n">
        <f aca="false">(E16*C16+E17*C17+E18*C18+E19*C19+E20*C20)*C15</f>
        <v>0</v>
      </c>
      <c r="F21" s="57" t="n">
        <f aca="false">(F16*C16+F17*C17+F18*C18+F19*C19+F20*C20)*C15</f>
        <v>0</v>
      </c>
      <c r="G21" s="57" t="n">
        <f aca="false">(G16*C16+G17*C17+G18*C18+G19*C19+G20*C20)*C15</f>
        <v>0</v>
      </c>
      <c r="H21" s="57" t="n">
        <f aca="false">(H16*C16+H17*C17+H18*C18+H19*C19+H20*C20)*C15</f>
        <v>0</v>
      </c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58" t="s">
        <v>247</v>
      </c>
      <c r="C22" s="59" t="n">
        <v>0.2</v>
      </c>
      <c r="D22" s="60"/>
      <c r="E22" s="60"/>
      <c r="F22" s="60"/>
      <c r="G22" s="60"/>
      <c r="H22" s="60"/>
      <c r="I22" s="2"/>
      <c r="J22" s="2"/>
      <c r="K22" s="2"/>
      <c r="L22" s="2"/>
      <c r="M22" s="2"/>
      <c r="N22" s="2"/>
    </row>
    <row r="23" customFormat="false" ht="23.25" hidden="false" customHeight="true" outlineLevel="0" collapsed="false">
      <c r="A23" s="2"/>
      <c r="B23" s="49" t="s">
        <v>248</v>
      </c>
      <c r="C23" s="50" t="n">
        <v>0.3</v>
      </c>
      <c r="D23" s="42"/>
      <c r="E23" s="42"/>
      <c r="F23" s="42"/>
      <c r="G23" s="42"/>
      <c r="H23" s="42"/>
      <c r="I23" s="2"/>
      <c r="J23" s="2"/>
      <c r="K23" s="2"/>
      <c r="L23" s="2"/>
      <c r="M23" s="2"/>
      <c r="N23" s="2"/>
    </row>
    <row r="24" customFormat="false" ht="23.25" hidden="false" customHeight="true" outlineLevel="0" collapsed="false">
      <c r="A24" s="2"/>
      <c r="B24" s="49" t="s">
        <v>249</v>
      </c>
      <c r="C24" s="50" t="n">
        <v>0.25</v>
      </c>
      <c r="D24" s="42"/>
      <c r="E24" s="42"/>
      <c r="F24" s="42"/>
      <c r="G24" s="42"/>
      <c r="H24" s="42"/>
      <c r="I24" s="2"/>
      <c r="J24" s="2"/>
      <c r="K24" s="2"/>
      <c r="L24" s="2"/>
      <c r="M24" s="2"/>
      <c r="N24" s="2"/>
    </row>
    <row r="25" customFormat="false" ht="23.25" hidden="false" customHeight="true" outlineLevel="0" collapsed="false">
      <c r="A25" s="2"/>
      <c r="B25" s="49" t="s">
        <v>250</v>
      </c>
      <c r="C25" s="50" t="n">
        <v>0.25</v>
      </c>
      <c r="D25" s="42"/>
      <c r="E25" s="42"/>
      <c r="F25" s="42"/>
      <c r="G25" s="42"/>
      <c r="H25" s="42"/>
      <c r="I25" s="2"/>
      <c r="J25" s="2"/>
      <c r="K25" s="2"/>
      <c r="L25" s="2"/>
      <c r="M25" s="2"/>
      <c r="N25" s="2"/>
    </row>
    <row r="26" customFormat="false" ht="23.25" hidden="false" customHeight="true" outlineLevel="0" collapsed="false">
      <c r="A26" s="2"/>
      <c r="B26" s="49" t="s">
        <v>251</v>
      </c>
      <c r="C26" s="50" t="n">
        <v>0.2</v>
      </c>
      <c r="D26" s="42"/>
      <c r="E26" s="42"/>
      <c r="F26" s="42"/>
      <c r="G26" s="42"/>
      <c r="H26" s="42"/>
      <c r="I26" s="2"/>
      <c r="J26" s="2"/>
      <c r="K26" s="2"/>
      <c r="L26" s="2"/>
      <c r="M26" s="2"/>
      <c r="N26" s="2"/>
    </row>
    <row r="27" customFormat="false" ht="27.75" hidden="false" customHeight="true" outlineLevel="0" collapsed="false">
      <c r="A27" s="2"/>
      <c r="B27" s="61" t="s">
        <v>252</v>
      </c>
      <c r="C27" s="37"/>
      <c r="D27" s="62" t="n">
        <f aca="false">(D23*C23+D24*C24+D25*C25+D26*C26)*C22</f>
        <v>0</v>
      </c>
      <c r="E27" s="62" t="n">
        <f aca="false">(E23*C23+E24*C24+E25*C25+E26*C26)*C22</f>
        <v>0</v>
      </c>
      <c r="F27" s="62" t="n">
        <f aca="false">(F23*C23+F24*C24+F25*C25+F26*C26)*C22</f>
        <v>0</v>
      </c>
      <c r="G27" s="62" t="n">
        <f aca="false">(G23*C23+G24*C24+G25*C25+G26*C26)*C22</f>
        <v>0</v>
      </c>
      <c r="H27" s="62" t="n">
        <f aca="false">(H23*C23+H24*C24+H25*C25+H26*C26)*C22</f>
        <v>0</v>
      </c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63" t="s">
        <v>253</v>
      </c>
      <c r="C28" s="64" t="n">
        <v>0.25</v>
      </c>
      <c r="D28" s="65"/>
      <c r="E28" s="65"/>
      <c r="F28" s="65"/>
      <c r="G28" s="65"/>
      <c r="H28" s="65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49" t="s">
        <v>254</v>
      </c>
      <c r="C29" s="50" t="n">
        <v>0.3</v>
      </c>
      <c r="D29" s="42"/>
      <c r="E29" s="42"/>
      <c r="F29" s="42"/>
      <c r="G29" s="42"/>
      <c r="H29" s="4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49" t="s">
        <v>255</v>
      </c>
      <c r="C30" s="50" t="n">
        <v>0.25</v>
      </c>
      <c r="D30" s="42"/>
      <c r="E30" s="42"/>
      <c r="F30" s="42"/>
      <c r="G30" s="42"/>
      <c r="H30" s="42"/>
      <c r="I30" s="2"/>
      <c r="J30" s="2"/>
      <c r="K30" s="2"/>
      <c r="L30" s="2"/>
      <c r="M30" s="2"/>
      <c r="N30" s="2"/>
    </row>
    <row r="31" customFormat="false" ht="23.25" hidden="false" customHeight="true" outlineLevel="0" collapsed="false">
      <c r="A31" s="2"/>
      <c r="B31" s="49" t="s">
        <v>256</v>
      </c>
      <c r="C31" s="50" t="n">
        <v>0.25</v>
      </c>
      <c r="D31" s="42"/>
      <c r="E31" s="42"/>
      <c r="F31" s="42"/>
      <c r="G31" s="42"/>
      <c r="H31" s="42"/>
      <c r="I31" s="2"/>
      <c r="J31" s="2"/>
      <c r="K31" s="2"/>
      <c r="L31" s="2"/>
      <c r="M31" s="2"/>
      <c r="N31" s="2"/>
    </row>
    <row r="32" customFormat="false" ht="23.25" hidden="false" customHeight="true" outlineLevel="0" collapsed="false">
      <c r="A32" s="2"/>
      <c r="B32" s="49" t="s">
        <v>257</v>
      </c>
      <c r="C32" s="50" t="n">
        <v>0.2</v>
      </c>
      <c r="D32" s="42"/>
      <c r="E32" s="42"/>
      <c r="F32" s="42"/>
      <c r="G32" s="42"/>
      <c r="H32" s="4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66" t="s">
        <v>258</v>
      </c>
      <c r="C33" s="37"/>
      <c r="D33" s="67" t="n">
        <f aca="false">(D29*C29+D30*C30+D31*C31+D32*C32)*C28</f>
        <v>0</v>
      </c>
      <c r="E33" s="67" t="n">
        <f aca="false">(E29*C29+E30*C30+E31*C31+E32*C32)*C28</f>
        <v>0</v>
      </c>
      <c r="F33" s="67" t="n">
        <f aca="false">(F29*C29+F30*C30+F31*C31+F32*C32)*C28</f>
        <v>0</v>
      </c>
      <c r="G33" s="67" t="n">
        <f aca="false">(G29*C29+G30*C30+G31*C31+G32*C32)*C28</f>
        <v>0</v>
      </c>
      <c r="H33" s="67" t="n">
        <f aca="false">(H29*C29+H30*C30+H31*C31+H32*C32)*C28</f>
        <v>0</v>
      </c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33.75" hidden="false" customHeight="true" outlineLevel="0" collapsed="false">
      <c r="A35" s="2"/>
      <c r="B35" s="68" t="s">
        <v>259</v>
      </c>
      <c r="C35" s="69" t="s">
        <v>260</v>
      </c>
      <c r="D35" s="70" t="n">
        <f aca="false">D14+D21+D27+D33</f>
        <v>0</v>
      </c>
      <c r="E35" s="70" t="n">
        <f aca="false">E14+E21+E27+E33</f>
        <v>0</v>
      </c>
      <c r="F35" s="70" t="n">
        <f aca="false">F14+F21+F27+F33</f>
        <v>0</v>
      </c>
      <c r="G35" s="70" t="n">
        <f aca="false">G14+G21+G27+G33</f>
        <v>0</v>
      </c>
      <c r="H35" s="70" t="n">
        <f aca="false">H14+H21+H27+H33</f>
        <v>0</v>
      </c>
      <c r="I35" s="2"/>
      <c r="J35" s="2"/>
      <c r="K35" s="2"/>
      <c r="L35" s="2"/>
      <c r="M35" s="2"/>
      <c r="N35" s="2"/>
    </row>
    <row r="36" customFormat="false" ht="17.25" hidden="false" customHeight="true" outlineLevel="0" collapsed="false">
      <c r="A36" s="2"/>
      <c r="B36" s="71" t="s">
        <v>261</v>
      </c>
      <c r="C36" s="12"/>
      <c r="D36" s="72" t="n">
        <f aca="false">D35/5</f>
        <v>0</v>
      </c>
      <c r="E36" s="72" t="n">
        <f aca="false">E35/5</f>
        <v>0</v>
      </c>
      <c r="F36" s="72" t="n">
        <f aca="false">F35/5</f>
        <v>0</v>
      </c>
      <c r="G36" s="72" t="n">
        <f aca="false">G35/5</f>
        <v>0</v>
      </c>
      <c r="H36" s="72" t="n">
        <f aca="false">H35/5</f>
        <v>0</v>
      </c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true" outlineLevel="0" collapsed="false">
      <c r="A38" s="2"/>
      <c r="B38" s="73" t="s">
        <v>262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9.5" hidden="false" customHeight="true" outlineLevel="0" collapsed="false">
      <c r="A39" s="2"/>
      <c r="B39" s="2"/>
      <c r="C39" s="2"/>
      <c r="D39" s="74" t="n">
        <f aca="false">RANK(D35,D35:H35)</f>
        <v>1</v>
      </c>
      <c r="E39" s="74" t="n">
        <f aca="false">RANK(E35,D35:H35)</f>
        <v>1</v>
      </c>
      <c r="F39" s="74" t="n">
        <f aca="false">RANK(F35,D35:H35)</f>
        <v>1</v>
      </c>
      <c r="G39" s="74" t="n">
        <f aca="false">RANK(G35,D35:H35)</f>
        <v>1</v>
      </c>
      <c r="H39" s="74" t="n">
        <f aca="false">RANK(H35,D35:H35)</f>
        <v>1</v>
      </c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mergeCells count="1">
    <mergeCell ref="B2:H2"/>
  </mergeCells>
  <conditionalFormatting sqref="D36:H36">
    <cfRule type="cellIs" priority="2" operator="greaterThanOrEqual" aboveAverage="0" equalAverage="0" bottom="0" percent="0" rank="0" text="" dxfId="0">
      <formula>0.75</formula>
    </cfRule>
    <cfRule type="cellIs" priority="3" operator="between" aboveAverage="0" equalAverage="0" bottom="0" percent="0" rank="0" text="" dxfId="1">
      <formula>0.5</formula>
      <formula>0.749</formula>
    </cfRule>
    <cfRule type="cellIs" priority="4" operator="lessThan" aboveAverage="0" equalAverage="0" bottom="0" percent="0" rank="0" text="" dxfId="2">
      <formula>0.5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2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263</v>
      </c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264</v>
      </c>
      <c r="C4" s="30" t="s">
        <v>265</v>
      </c>
      <c r="D4" s="30" t="s">
        <v>266</v>
      </c>
      <c r="E4" s="30" t="s">
        <v>267</v>
      </c>
      <c r="F4" s="30" t="s">
        <v>268</v>
      </c>
      <c r="G4" s="2"/>
      <c r="H4" s="2"/>
      <c r="I4" s="2"/>
      <c r="J4" s="2"/>
      <c r="K4" s="2"/>
      <c r="L4" s="2"/>
      <c r="M4" s="2"/>
      <c r="N4" s="2"/>
    </row>
    <row r="5" customFormat="false" ht="30" hidden="false" customHeight="true" outlineLevel="0" collapsed="false">
      <c r="A5" s="2"/>
      <c r="B5" s="75" t="s">
        <v>269</v>
      </c>
      <c r="C5" s="41" t="s">
        <v>270</v>
      </c>
      <c r="D5" s="41" t="s">
        <v>271</v>
      </c>
      <c r="E5" s="41" t="s">
        <v>272</v>
      </c>
      <c r="F5" s="41" t="s">
        <v>273</v>
      </c>
      <c r="G5" s="2"/>
      <c r="H5" s="2"/>
      <c r="I5" s="2"/>
      <c r="J5" s="2"/>
      <c r="K5" s="2"/>
      <c r="L5" s="2"/>
      <c r="M5" s="2"/>
      <c r="N5" s="2"/>
    </row>
    <row r="6" customFormat="false" ht="30" hidden="false" customHeight="true" outlineLevel="0" collapsed="false">
      <c r="A6" s="2"/>
      <c r="B6" s="75" t="s">
        <v>274</v>
      </c>
      <c r="C6" s="41" t="s">
        <v>275</v>
      </c>
      <c r="D6" s="41" t="s">
        <v>276</v>
      </c>
      <c r="E6" s="41" t="s">
        <v>277</v>
      </c>
      <c r="F6" s="41" t="s">
        <v>278</v>
      </c>
      <c r="G6" s="2"/>
      <c r="H6" s="2"/>
      <c r="I6" s="2"/>
      <c r="J6" s="2"/>
      <c r="K6" s="2"/>
      <c r="L6" s="2"/>
      <c r="M6" s="2"/>
      <c r="N6" s="2"/>
    </row>
    <row r="7" customFormat="false" ht="30" hidden="false" customHeight="true" outlineLevel="0" collapsed="false">
      <c r="A7" s="2"/>
      <c r="B7" s="75" t="s">
        <v>279</v>
      </c>
      <c r="C7" s="41" t="s">
        <v>280</v>
      </c>
      <c r="D7" s="41" t="s">
        <v>281</v>
      </c>
      <c r="E7" s="41" t="s">
        <v>282</v>
      </c>
      <c r="F7" s="41" t="s">
        <v>283</v>
      </c>
      <c r="G7" s="2"/>
      <c r="H7" s="2"/>
      <c r="I7" s="2"/>
      <c r="J7" s="2"/>
      <c r="K7" s="2"/>
      <c r="L7" s="2"/>
      <c r="M7" s="2"/>
      <c r="N7" s="2"/>
    </row>
    <row r="8" customFormat="false" ht="30" hidden="false" customHeight="true" outlineLevel="0" collapsed="false">
      <c r="A8" s="2"/>
      <c r="B8" s="75" t="s">
        <v>284</v>
      </c>
      <c r="C8" s="41" t="s">
        <v>285</v>
      </c>
      <c r="D8" s="41" t="s">
        <v>286</v>
      </c>
      <c r="E8" s="41" t="s">
        <v>287</v>
      </c>
      <c r="F8" s="41" t="s">
        <v>288</v>
      </c>
      <c r="G8" s="2"/>
      <c r="H8" s="2"/>
      <c r="I8" s="2"/>
      <c r="J8" s="2"/>
      <c r="K8" s="2"/>
      <c r="L8" s="2"/>
      <c r="M8" s="2"/>
      <c r="N8" s="2"/>
    </row>
    <row r="9" customFormat="false" ht="30" hidden="false" customHeight="true" outlineLevel="0" collapsed="false">
      <c r="A9" s="2"/>
      <c r="B9" s="75" t="s">
        <v>289</v>
      </c>
      <c r="C9" s="41" t="s">
        <v>290</v>
      </c>
      <c r="D9" s="41" t="s">
        <v>291</v>
      </c>
      <c r="E9" s="41" t="s">
        <v>292</v>
      </c>
      <c r="F9" s="41" t="s">
        <v>293</v>
      </c>
      <c r="G9" s="2"/>
      <c r="H9" s="2"/>
      <c r="I9" s="2"/>
      <c r="J9" s="2"/>
      <c r="K9" s="2"/>
      <c r="L9" s="2"/>
      <c r="M9" s="2"/>
      <c r="N9" s="2"/>
    </row>
    <row r="10" customFormat="false" ht="30" hidden="false" customHeight="true" outlineLevel="0" collapsed="false">
      <c r="A10" s="2"/>
      <c r="B10" s="75" t="s">
        <v>294</v>
      </c>
      <c r="C10" s="41" t="s">
        <v>295</v>
      </c>
      <c r="D10" s="41" t="s">
        <v>296</v>
      </c>
      <c r="E10" s="41" t="s">
        <v>297</v>
      </c>
      <c r="F10" s="41" t="s">
        <v>298</v>
      </c>
      <c r="G10" s="2"/>
      <c r="H10" s="2"/>
      <c r="I10" s="2"/>
      <c r="J10" s="2"/>
      <c r="K10" s="2"/>
      <c r="L10" s="2"/>
      <c r="M10" s="2"/>
      <c r="N10" s="2"/>
    </row>
    <row r="11" customFormat="false" ht="30" hidden="false" customHeight="true" outlineLevel="0" collapsed="false">
      <c r="A11" s="2"/>
      <c r="B11" s="75" t="s">
        <v>299</v>
      </c>
      <c r="C11" s="41" t="s">
        <v>300</v>
      </c>
      <c r="D11" s="41" t="s">
        <v>301</v>
      </c>
      <c r="E11" s="41" t="s">
        <v>302</v>
      </c>
      <c r="F11" s="41" t="s">
        <v>303</v>
      </c>
      <c r="G11" s="2"/>
      <c r="H11" s="2"/>
      <c r="I11" s="2"/>
      <c r="J11" s="2"/>
      <c r="K11" s="2"/>
      <c r="L11" s="2"/>
      <c r="M11" s="2"/>
      <c r="N11" s="2"/>
    </row>
    <row r="12" customFormat="false" ht="30" hidden="false" customHeight="true" outlineLevel="0" collapsed="false">
      <c r="A12" s="2"/>
      <c r="B12" s="75" t="s">
        <v>304</v>
      </c>
      <c r="C12" s="41" t="s">
        <v>305</v>
      </c>
      <c r="D12" s="41" t="s">
        <v>305</v>
      </c>
      <c r="E12" s="41" t="s">
        <v>306</v>
      </c>
      <c r="F12" s="41" t="s">
        <v>307</v>
      </c>
      <c r="G12" s="2"/>
      <c r="H12" s="2"/>
      <c r="I12" s="2"/>
      <c r="J12" s="2"/>
      <c r="K12" s="2"/>
      <c r="L12" s="2"/>
      <c r="M12" s="2"/>
      <c r="N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66.75" hidden="false" customHeight="true" outlineLevel="0" collapsed="false">
      <c r="A15" s="2"/>
      <c r="B15" s="22" t="s">
        <v>308</v>
      </c>
      <c r="C15" s="23"/>
      <c r="D15" s="23"/>
      <c r="E15" s="23"/>
      <c r="F15" s="23"/>
      <c r="G15" s="2"/>
      <c r="H15" s="2"/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44" t="s">
        <v>309</v>
      </c>
      <c r="C16" s="30" t="s">
        <v>310</v>
      </c>
      <c r="D16" s="30" t="s">
        <v>311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4" t="s">
        <v>312</v>
      </c>
      <c r="C17" s="76" t="n">
        <v>14</v>
      </c>
      <c r="D17" s="77" t="s">
        <v>313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27.75" hidden="false" customHeight="true" outlineLevel="0" collapsed="false">
      <c r="A18" s="2"/>
      <c r="B18" s="24" t="s">
        <v>314</v>
      </c>
      <c r="C18" s="78" t="n">
        <v>2800</v>
      </c>
      <c r="D18" s="77" t="s">
        <v>315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27.75" hidden="false" customHeight="true" outlineLevel="0" collapsed="false">
      <c r="A19" s="2"/>
      <c r="B19" s="24" t="s">
        <v>316</v>
      </c>
      <c r="C19" s="78" t="n">
        <v>8500</v>
      </c>
      <c r="D19" s="77" t="s">
        <v>317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27.75" hidden="false" customHeight="true" outlineLevel="0" collapsed="false">
      <c r="A20" s="2"/>
      <c r="B20" s="24" t="s">
        <v>318</v>
      </c>
      <c r="C20" s="79" t="n">
        <v>3.5</v>
      </c>
      <c r="D20" s="77" t="s">
        <v>319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27.75" hidden="false" customHeight="true" outlineLevel="0" collapsed="false">
      <c r="A21" s="2"/>
      <c r="B21" s="24" t="s">
        <v>320</v>
      </c>
      <c r="C21" s="78" t="n">
        <v>0</v>
      </c>
      <c r="D21" s="77" t="s">
        <v>321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4" t="s">
        <v>322</v>
      </c>
      <c r="C22" s="80" t="n">
        <v>0.25</v>
      </c>
      <c r="D22" s="77" t="s">
        <v>323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50.25" hidden="false" customHeight="true" outlineLevel="0" collapsed="false">
      <c r="A24" s="2"/>
      <c r="B24" s="22" t="s">
        <v>324</v>
      </c>
      <c r="C24" s="23"/>
      <c r="D24" s="23"/>
      <c r="E24" s="23"/>
      <c r="F24" s="23"/>
      <c r="G24" s="2"/>
      <c r="H24" s="2"/>
      <c r="I24" s="2"/>
      <c r="J24" s="2"/>
      <c r="K24" s="2"/>
      <c r="L24" s="2"/>
      <c r="M24" s="2"/>
      <c r="N24" s="2"/>
    </row>
    <row r="25" customFormat="false" ht="27.75" hidden="false" customHeight="true" outlineLevel="0" collapsed="false">
      <c r="A25" s="2"/>
      <c r="B25" s="81" t="s">
        <v>325</v>
      </c>
      <c r="C25" s="82" t="n">
        <f aca="false">C17*C18*12</f>
        <v>470400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41.25" hidden="false" customHeight="true" outlineLevel="0" collapsed="false">
      <c r="A26" s="2"/>
      <c r="B26" s="83" t="s">
        <v>326</v>
      </c>
      <c r="C26" s="84" t="n">
        <f aca="false">C19*C20*12</f>
        <v>357000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27.75" hidden="false" customHeight="true" outlineLevel="0" collapsed="false">
      <c r="A27" s="2"/>
      <c r="B27" s="85" t="s">
        <v>327</v>
      </c>
      <c r="C27" s="86" t="n">
        <f aca="false">C21*(1-C22)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27.75" hidden="false" customHeight="true" outlineLevel="0" collapsed="false">
      <c r="A28" s="2"/>
      <c r="B28" s="87" t="s">
        <v>328</v>
      </c>
      <c r="C28" s="88" t="n">
        <f aca="false">0.6*(C17*C18*12)+0.4*(C19*C20*12)</f>
        <v>425040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29.25" hidden="false" customHeight="true" outlineLevel="0" collapsed="false">
      <c r="A30" s="2"/>
      <c r="B30" s="33" t="s">
        <v>329</v>
      </c>
      <c r="C30" s="89" t="n">
        <f aca="false">MIN(C25:C28)</f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1">
    <mergeCell ref="B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9" min="6" style="1" width="1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330</v>
      </c>
      <c r="C2" s="16"/>
      <c r="D2" s="16"/>
      <c r="E2" s="16"/>
      <c r="F2" s="16"/>
      <c r="G2" s="16"/>
      <c r="H2" s="16"/>
      <c r="I2" s="16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50.25" hidden="false" customHeight="true" outlineLevel="0" collapsed="false">
      <c r="A4" s="2"/>
      <c r="B4" s="22" t="s">
        <v>331</v>
      </c>
      <c r="C4" s="23"/>
      <c r="D4" s="23"/>
      <c r="E4" s="23"/>
      <c r="F4" s="23"/>
      <c r="G4" s="23"/>
      <c r="H4" s="23"/>
      <c r="I4" s="23"/>
      <c r="J4" s="2"/>
      <c r="K4" s="2"/>
      <c r="L4" s="2"/>
      <c r="M4" s="2"/>
      <c r="N4" s="2"/>
    </row>
    <row r="5" customFormat="false" ht="23.25" hidden="false" customHeight="true" outlineLevel="0" collapsed="false">
      <c r="A5" s="2"/>
      <c r="B5" s="30" t="s">
        <v>332</v>
      </c>
      <c r="C5" s="30" t="s">
        <v>333</v>
      </c>
      <c r="D5" s="30" t="s">
        <v>334</v>
      </c>
      <c r="E5" s="30" t="s">
        <v>98</v>
      </c>
      <c r="F5" s="2"/>
      <c r="G5" s="2"/>
      <c r="H5" s="2"/>
      <c r="I5" s="2"/>
      <c r="J5" s="2"/>
      <c r="K5" s="2"/>
      <c r="L5" s="2"/>
      <c r="M5" s="2"/>
      <c r="N5" s="2"/>
    </row>
    <row r="6" customFormat="false" ht="14.25" hidden="false" customHeight="true" outlineLevel="0" collapsed="false">
      <c r="A6" s="2"/>
      <c r="B6" s="24" t="s">
        <v>335</v>
      </c>
      <c r="C6" s="90" t="n">
        <v>0</v>
      </c>
      <c r="D6" s="91" t="n">
        <f aca="false">IF(C14=0,0,C6/C14)</f>
        <v>0</v>
      </c>
      <c r="E6" s="26" t="s">
        <v>336</v>
      </c>
      <c r="F6" s="2"/>
      <c r="G6" s="2"/>
      <c r="H6" s="2"/>
      <c r="I6" s="2"/>
      <c r="J6" s="2"/>
      <c r="K6" s="2"/>
      <c r="L6" s="2"/>
      <c r="M6" s="2"/>
      <c r="N6" s="2"/>
    </row>
    <row r="7" customFormat="false" ht="23.25" hidden="false" customHeight="true" outlineLevel="0" collapsed="false">
      <c r="A7" s="2"/>
      <c r="B7" s="24" t="s">
        <v>337</v>
      </c>
      <c r="C7" s="90" t="n">
        <v>0</v>
      </c>
      <c r="D7" s="91" t="n">
        <f aca="false">IF(C14=0,0,C7/C14)</f>
        <v>0</v>
      </c>
      <c r="E7" s="26" t="s">
        <v>338</v>
      </c>
      <c r="F7" s="2"/>
      <c r="G7" s="2"/>
      <c r="H7" s="2"/>
      <c r="I7" s="2"/>
      <c r="J7" s="2"/>
      <c r="K7" s="2"/>
      <c r="L7" s="2"/>
      <c r="M7" s="2"/>
      <c r="N7" s="2"/>
    </row>
    <row r="8" customFormat="false" ht="23.25" hidden="false" customHeight="true" outlineLevel="0" collapsed="false">
      <c r="A8" s="2"/>
      <c r="B8" s="24" t="s">
        <v>339</v>
      </c>
      <c r="C8" s="90" t="n">
        <v>0</v>
      </c>
      <c r="D8" s="91" t="n">
        <f aca="false">IF(C14=0,0,C8/C14)</f>
        <v>0</v>
      </c>
      <c r="E8" s="26" t="s">
        <v>340</v>
      </c>
      <c r="F8" s="2"/>
      <c r="G8" s="2"/>
      <c r="H8" s="2"/>
      <c r="I8" s="2"/>
      <c r="J8" s="2"/>
      <c r="K8" s="2"/>
      <c r="L8" s="2"/>
      <c r="M8" s="2"/>
      <c r="N8" s="2"/>
    </row>
    <row r="9" customFormat="false" ht="23.25" hidden="false" customHeight="true" outlineLevel="0" collapsed="false">
      <c r="A9" s="2"/>
      <c r="B9" s="24" t="s">
        <v>341</v>
      </c>
      <c r="C9" s="90" t="n">
        <v>0</v>
      </c>
      <c r="D9" s="91" t="n">
        <f aca="false">IF(C14=0,0,C9/C14)</f>
        <v>0</v>
      </c>
      <c r="E9" s="26" t="s">
        <v>342</v>
      </c>
      <c r="F9" s="2"/>
      <c r="G9" s="2"/>
      <c r="H9" s="2"/>
      <c r="I9" s="2"/>
      <c r="J9" s="2"/>
      <c r="K9" s="2"/>
      <c r="L9" s="2"/>
      <c r="M9" s="2"/>
      <c r="N9" s="2"/>
    </row>
    <row r="10" customFormat="false" ht="23.25" hidden="false" customHeight="true" outlineLevel="0" collapsed="false">
      <c r="A10" s="2"/>
      <c r="B10" s="24" t="s">
        <v>343</v>
      </c>
      <c r="C10" s="90" t="n">
        <v>0</v>
      </c>
      <c r="D10" s="91" t="n">
        <f aca="false">IF(C14=0,0,C10/C14)</f>
        <v>0</v>
      </c>
      <c r="E10" s="26" t="s">
        <v>344</v>
      </c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4.25" hidden="false" customHeight="true" outlineLevel="0" collapsed="false">
      <c r="A11" s="2"/>
      <c r="B11" s="24" t="s">
        <v>345</v>
      </c>
      <c r="C11" s="90" t="n">
        <v>0</v>
      </c>
      <c r="D11" s="91" t="n">
        <f aca="false">IF(C14=0,0,C11/C14)</f>
        <v>0</v>
      </c>
      <c r="E11" s="26" t="s">
        <v>346</v>
      </c>
      <c r="F11" s="2"/>
      <c r="G11" s="2"/>
      <c r="H11" s="2"/>
      <c r="I11" s="2"/>
      <c r="J11" s="2"/>
      <c r="K11" s="2"/>
      <c r="L11" s="2"/>
      <c r="M11" s="2"/>
      <c r="N11" s="2"/>
    </row>
    <row r="12" customFormat="false" ht="23.25" hidden="false" customHeight="true" outlineLevel="0" collapsed="false">
      <c r="A12" s="2"/>
      <c r="B12" s="24" t="s">
        <v>347</v>
      </c>
      <c r="C12" s="90" t="n">
        <v>0</v>
      </c>
      <c r="D12" s="91" t="n">
        <f aca="false">IF(C14=0,0,C12/C14)</f>
        <v>0</v>
      </c>
      <c r="E12" s="26" t="s">
        <v>348</v>
      </c>
      <c r="F12" s="2"/>
      <c r="G12" s="2"/>
      <c r="H12" s="2"/>
      <c r="I12" s="2"/>
      <c r="J12" s="2"/>
      <c r="K12" s="2"/>
      <c r="L12" s="2"/>
      <c r="M12" s="2"/>
      <c r="N12" s="2"/>
    </row>
    <row r="13" customFormat="false" ht="27.75" hidden="false" customHeight="true" outlineLevel="0" collapsed="false">
      <c r="A13" s="2"/>
      <c r="B13" s="24" t="s">
        <v>349</v>
      </c>
      <c r="C13" s="90" t="n">
        <v>0</v>
      </c>
      <c r="D13" s="91" t="n">
        <f aca="false">IF(C14=0,0,C13/C14)</f>
        <v>0</v>
      </c>
      <c r="E13" s="26" t="s">
        <v>350</v>
      </c>
      <c r="F13" s="2"/>
      <c r="G13" s="2"/>
      <c r="H13" s="2"/>
      <c r="I13" s="2"/>
      <c r="J13" s="2"/>
      <c r="K13" s="2"/>
      <c r="L13" s="2"/>
      <c r="M13" s="2"/>
      <c r="N13" s="2"/>
    </row>
    <row r="14" customFormat="false" ht="29.25" hidden="false" customHeight="true" outlineLevel="0" collapsed="false">
      <c r="A14" s="2"/>
      <c r="B14" s="33" t="s">
        <v>351</v>
      </c>
      <c r="C14" s="92" t="n">
        <f aca="false">SUM(C6:C13)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50.25" hidden="false" customHeight="true" outlineLevel="0" collapsed="false">
      <c r="A16" s="2"/>
      <c r="B16" s="22" t="s">
        <v>352</v>
      </c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</row>
    <row r="17" customFormat="false" ht="23.25" hidden="false" customHeight="true" outlineLevel="0" collapsed="false">
      <c r="A17" s="2"/>
      <c r="B17" s="30" t="s">
        <v>332</v>
      </c>
      <c r="C17" s="30" t="s">
        <v>333</v>
      </c>
      <c r="D17" s="30" t="s">
        <v>334</v>
      </c>
      <c r="E17" s="30" t="s">
        <v>98</v>
      </c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24" t="s">
        <v>353</v>
      </c>
      <c r="C18" s="90" t="n">
        <v>0</v>
      </c>
      <c r="D18" s="91" t="n">
        <f aca="false">IF(C25=0,0,C18/C25)</f>
        <v>0</v>
      </c>
      <c r="E18" s="26" t="s">
        <v>354</v>
      </c>
      <c r="F18" s="2"/>
      <c r="G18" s="2"/>
      <c r="H18" s="2"/>
      <c r="I18" s="2"/>
      <c r="J18" s="2"/>
      <c r="K18" s="2"/>
      <c r="L18" s="2"/>
      <c r="M18" s="2"/>
      <c r="N18" s="2"/>
    </row>
    <row r="19" customFormat="false" ht="23.25" hidden="false" customHeight="true" outlineLevel="0" collapsed="false">
      <c r="A19" s="2"/>
      <c r="B19" s="24" t="s">
        <v>355</v>
      </c>
      <c r="C19" s="90" t="n">
        <v>0</v>
      </c>
      <c r="D19" s="91" t="n">
        <f aca="false">IF(C25=0,0,C19/C25)</f>
        <v>0</v>
      </c>
      <c r="E19" s="26" t="s">
        <v>356</v>
      </c>
      <c r="F19" s="2"/>
      <c r="G19" s="2"/>
      <c r="H19" s="2"/>
      <c r="I19" s="2"/>
      <c r="J19" s="2"/>
      <c r="K19" s="2"/>
      <c r="L19" s="2"/>
      <c r="M19" s="2"/>
      <c r="N19" s="2"/>
    </row>
    <row r="20" customFormat="false" ht="27.75" hidden="false" customHeight="true" outlineLevel="0" collapsed="false">
      <c r="A20" s="2"/>
      <c r="B20" s="24" t="s">
        <v>357</v>
      </c>
      <c r="C20" s="90" t="n">
        <v>0</v>
      </c>
      <c r="D20" s="91" t="n">
        <f aca="false">IF(C25=0,0,C20/C25)</f>
        <v>0</v>
      </c>
      <c r="E20" s="26" t="s">
        <v>358</v>
      </c>
      <c r="F20" s="2"/>
      <c r="G20" s="2"/>
      <c r="H20" s="2"/>
      <c r="I20" s="2"/>
      <c r="J20" s="2"/>
      <c r="K20" s="2"/>
      <c r="L20" s="2"/>
      <c r="M20" s="2"/>
      <c r="N20" s="2"/>
    </row>
    <row r="21" customFormat="false" ht="27.75" hidden="false" customHeight="true" outlineLevel="0" collapsed="false">
      <c r="A21" s="2"/>
      <c r="B21" s="24" t="s">
        <v>359</v>
      </c>
      <c r="C21" s="90" t="n">
        <v>0</v>
      </c>
      <c r="D21" s="91" t="n">
        <f aca="false">IF(C25=0,0,C21/C25)</f>
        <v>0</v>
      </c>
      <c r="E21" s="26" t="s">
        <v>360</v>
      </c>
      <c r="F21" s="2"/>
      <c r="G21" s="2"/>
      <c r="H21" s="2"/>
      <c r="I21" s="2"/>
      <c r="J21" s="2"/>
      <c r="K21" s="2"/>
      <c r="L21" s="2"/>
      <c r="M21" s="2"/>
      <c r="N21" s="2"/>
    </row>
    <row r="22" customFormat="false" ht="27.75" hidden="false" customHeight="true" outlineLevel="0" collapsed="false">
      <c r="A22" s="2"/>
      <c r="B22" s="24" t="s">
        <v>361</v>
      </c>
      <c r="C22" s="90" t="n">
        <v>0</v>
      </c>
      <c r="D22" s="91" t="n">
        <f aca="false">IF(C25=0,0,C22/C25)</f>
        <v>0</v>
      </c>
      <c r="E22" s="26" t="s">
        <v>362</v>
      </c>
      <c r="F22" s="2"/>
      <c r="G22" s="2"/>
      <c r="H22" s="2"/>
      <c r="I22" s="2"/>
      <c r="J22" s="2"/>
      <c r="K22" s="2"/>
      <c r="L22" s="2"/>
      <c r="M22" s="2"/>
      <c r="N22" s="2"/>
    </row>
    <row r="23" customFormat="false" ht="23.25" hidden="false" customHeight="true" outlineLevel="0" collapsed="false">
      <c r="A23" s="2"/>
      <c r="B23" s="24" t="s">
        <v>363</v>
      </c>
      <c r="C23" s="90" t="n">
        <v>0</v>
      </c>
      <c r="D23" s="91" t="n">
        <f aca="false">IF(C25=0,0,C23/C25)</f>
        <v>0</v>
      </c>
      <c r="E23" s="26" t="s">
        <v>364</v>
      </c>
      <c r="F23" s="2"/>
      <c r="G23" s="2"/>
      <c r="H23" s="2"/>
      <c r="I23" s="2"/>
      <c r="J23" s="2"/>
      <c r="K23" s="2"/>
      <c r="L23" s="2"/>
      <c r="M23" s="2"/>
      <c r="N23" s="2"/>
    </row>
    <row r="24" customFormat="false" ht="23.25" hidden="false" customHeight="true" outlineLevel="0" collapsed="false">
      <c r="A24" s="2"/>
      <c r="B24" s="24" t="s">
        <v>365</v>
      </c>
      <c r="C24" s="90" t="n">
        <v>0</v>
      </c>
      <c r="D24" s="91" t="n">
        <f aca="false">IF(C25=0,0,C24/C25)</f>
        <v>0</v>
      </c>
      <c r="E24" s="26" t="s">
        <v>366</v>
      </c>
      <c r="F24" s="2"/>
      <c r="G24" s="2"/>
      <c r="H24" s="2"/>
      <c r="I24" s="2"/>
      <c r="J24" s="2"/>
      <c r="K24" s="2"/>
      <c r="L24" s="2"/>
      <c r="M24" s="2"/>
      <c r="N24" s="2"/>
    </row>
    <row r="25" customFormat="false" ht="29.25" hidden="false" customHeight="true" outlineLevel="0" collapsed="false">
      <c r="A25" s="2"/>
      <c r="B25" s="33" t="s">
        <v>367</v>
      </c>
      <c r="C25" s="93" t="n">
        <f aca="false">SUM(C18:C24)</f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33.75" hidden="false" customHeight="true" outlineLevel="0" collapsed="false">
      <c r="A27" s="2"/>
      <c r="B27" s="22" t="s">
        <v>368</v>
      </c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</row>
    <row r="28" customFormat="false" ht="17.25" hidden="false" customHeight="true" outlineLevel="0" collapsed="false">
      <c r="A28" s="2"/>
      <c r="B28" s="71" t="s">
        <v>369</v>
      </c>
      <c r="C28" s="94" t="n">
        <f aca="false">C14-C25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7.25" hidden="false" customHeight="true" outlineLevel="0" collapsed="false">
      <c r="A29" s="2"/>
      <c r="B29" s="71" t="s">
        <v>370</v>
      </c>
      <c r="C29" s="95" t="n">
        <f aca="false">IF(C14=0,0,C28/C14)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33.75" hidden="false" customHeight="true" outlineLevel="0" collapsed="false">
      <c r="A31" s="2"/>
      <c r="B31" s="22" t="s">
        <v>371</v>
      </c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</row>
    <row r="32" customFormat="false" ht="34.5" hidden="false" customHeight="true" outlineLevel="0" collapsed="false">
      <c r="A32" s="2"/>
      <c r="B32" s="24" t="s">
        <v>372</v>
      </c>
      <c r="C32" s="80" t="n">
        <v>0.03</v>
      </c>
      <c r="D32" s="26" t="s">
        <v>373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23.25" hidden="false" customHeight="true" outlineLevel="0" collapsed="false">
      <c r="A33" s="2"/>
      <c r="B33" s="30" t="s">
        <v>374</v>
      </c>
      <c r="C33" s="30" t="s">
        <v>375</v>
      </c>
      <c r="D33" s="30" t="s">
        <v>376</v>
      </c>
      <c r="E33" s="30" t="s">
        <v>377</v>
      </c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4" t="s">
        <v>378</v>
      </c>
      <c r="C34" s="96" t="n">
        <f aca="false">C14*(1+C32)^0</f>
        <v>0</v>
      </c>
      <c r="D34" s="97" t="n">
        <f aca="false">C25*(1+C32)^0</f>
        <v>0</v>
      </c>
      <c r="E34" s="98" t="n">
        <f aca="false">C34-D34</f>
        <v>0</v>
      </c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4" t="s">
        <v>379</v>
      </c>
      <c r="C35" s="96" t="n">
        <f aca="false">C14*(1+C32)^1</f>
        <v>0</v>
      </c>
      <c r="D35" s="97" t="n">
        <f aca="false">C25*(1+C32)^1</f>
        <v>0</v>
      </c>
      <c r="E35" s="98" t="n">
        <f aca="false">E34+(C35-D35)</f>
        <v>0</v>
      </c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4" t="s">
        <v>380</v>
      </c>
      <c r="C36" s="96" t="n">
        <f aca="false">C14*(1+C32)^2</f>
        <v>0</v>
      </c>
      <c r="D36" s="97" t="n">
        <f aca="false">C25*(1+C32)^2</f>
        <v>0</v>
      </c>
      <c r="E36" s="98" t="n">
        <f aca="false">E35+(C36-D36)</f>
        <v>0</v>
      </c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4" t="s">
        <v>381</v>
      </c>
      <c r="C37" s="96" t="n">
        <f aca="false">C14*(1+C32)^3</f>
        <v>0</v>
      </c>
      <c r="D37" s="97" t="n">
        <f aca="false">C25*(1+C32)^3</f>
        <v>0</v>
      </c>
      <c r="E37" s="98" t="n">
        <f aca="false">E36+(C37-D37)</f>
        <v>0</v>
      </c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4" t="s">
        <v>382</v>
      </c>
      <c r="C38" s="96" t="n">
        <f aca="false">C14*(1+C32)^4</f>
        <v>0</v>
      </c>
      <c r="D38" s="97" t="n">
        <f aca="false">C25*(1+C32)^4</f>
        <v>0</v>
      </c>
      <c r="E38" s="98" t="n">
        <f aca="false">E37+(C38-D38)</f>
        <v>0</v>
      </c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7.25" hidden="false" customHeight="true" outlineLevel="0" collapsed="false">
      <c r="A39" s="2"/>
      <c r="B39" s="33" t="s">
        <v>383</v>
      </c>
      <c r="C39" s="92" t="n">
        <f aca="false">SUM(C34:C38)</f>
        <v>0</v>
      </c>
      <c r="D39" s="93" t="n">
        <f aca="false">SUM(D34:D38)</f>
        <v>0</v>
      </c>
      <c r="E39" s="99" t="n">
        <f aca="false">E38</f>
        <v>0</v>
      </c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mergeCells count="1">
    <mergeCell ref="B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10" activeCellId="0" sqref="C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1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384</v>
      </c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385</v>
      </c>
      <c r="C4" s="30" t="s">
        <v>386</v>
      </c>
      <c r="D4" s="30" t="s">
        <v>387</v>
      </c>
      <c r="E4" s="30" t="s">
        <v>388</v>
      </c>
      <c r="F4" s="30" t="s">
        <v>389</v>
      </c>
      <c r="G4" s="30" t="s">
        <v>390</v>
      </c>
      <c r="H4" s="30" t="s">
        <v>391</v>
      </c>
      <c r="I4" s="2"/>
      <c r="J4" s="2"/>
      <c r="K4" s="2"/>
      <c r="L4" s="2"/>
      <c r="M4" s="2"/>
      <c r="N4" s="2"/>
    </row>
    <row r="5" customFormat="false" ht="27.75" hidden="false" customHeight="true" outlineLevel="0" collapsed="false">
      <c r="A5" s="2"/>
      <c r="B5" s="46" t="s">
        <v>392</v>
      </c>
      <c r="C5" s="48"/>
      <c r="D5" s="48"/>
      <c r="E5" s="48"/>
      <c r="F5" s="48"/>
      <c r="G5" s="48"/>
      <c r="H5" s="48"/>
      <c r="I5" s="2"/>
      <c r="J5" s="2"/>
      <c r="K5" s="2"/>
      <c r="L5" s="2"/>
      <c r="M5" s="2"/>
      <c r="N5" s="2"/>
    </row>
    <row r="6" customFormat="false" ht="27.75" hidden="false" customHeight="true" outlineLevel="0" collapsed="false">
      <c r="A6" s="2"/>
      <c r="B6" s="12"/>
      <c r="C6" s="24" t="s">
        <v>393</v>
      </c>
      <c r="D6" s="31" t="s">
        <v>394</v>
      </c>
      <c r="E6" s="41" t="s">
        <v>395</v>
      </c>
      <c r="F6" s="41" t="s">
        <v>396</v>
      </c>
      <c r="G6" s="41" t="s">
        <v>397</v>
      </c>
      <c r="H6" s="77" t="n">
        <v>2.3</v>
      </c>
      <c r="I6" s="2"/>
      <c r="J6" s="2"/>
      <c r="K6" s="2"/>
      <c r="L6" s="2"/>
      <c r="M6" s="2"/>
      <c r="N6" s="2"/>
    </row>
    <row r="7" customFormat="false" ht="27.75" hidden="false" customHeight="true" outlineLevel="0" collapsed="false">
      <c r="A7" s="2"/>
      <c r="B7" s="12"/>
      <c r="C7" s="24" t="s">
        <v>398</v>
      </c>
      <c r="D7" s="31" t="s">
        <v>399</v>
      </c>
      <c r="E7" s="41" t="s">
        <v>400</v>
      </c>
      <c r="F7" s="41" t="s">
        <v>401</v>
      </c>
      <c r="G7" s="41" t="s">
        <v>402</v>
      </c>
      <c r="H7" s="77" t="n">
        <v>1.2</v>
      </c>
      <c r="I7" s="2"/>
      <c r="J7" s="2"/>
      <c r="K7" s="2"/>
      <c r="L7" s="2"/>
      <c r="M7" s="2"/>
      <c r="N7" s="2"/>
    </row>
    <row r="8" customFormat="false" ht="27.75" hidden="false" customHeight="true" outlineLevel="0" collapsed="false">
      <c r="A8" s="2"/>
      <c r="B8" s="12"/>
      <c r="C8" s="24" t="s">
        <v>403</v>
      </c>
      <c r="D8" s="31" t="s">
        <v>404</v>
      </c>
      <c r="E8" s="41" t="s">
        <v>405</v>
      </c>
      <c r="F8" s="41" t="s">
        <v>406</v>
      </c>
      <c r="G8" s="41" t="s">
        <v>407</v>
      </c>
      <c r="H8" s="77" t="n">
        <v>1.2</v>
      </c>
      <c r="I8" s="2"/>
      <c r="J8" s="2"/>
      <c r="K8" s="2"/>
      <c r="L8" s="2"/>
      <c r="M8" s="2"/>
      <c r="N8" s="2"/>
    </row>
    <row r="9" customFormat="false" ht="41.25" hidden="false" customHeight="true" outlineLevel="0" collapsed="false">
      <c r="A9" s="2"/>
      <c r="B9" s="12"/>
      <c r="C9" s="24" t="s">
        <v>408</v>
      </c>
      <c r="D9" s="31" t="s">
        <v>409</v>
      </c>
      <c r="E9" s="41" t="s">
        <v>410</v>
      </c>
      <c r="F9" s="41" t="s">
        <v>411</v>
      </c>
      <c r="G9" s="41" t="s">
        <v>412</v>
      </c>
      <c r="H9" s="77" t="n">
        <v>1.3</v>
      </c>
      <c r="I9" s="2"/>
      <c r="J9" s="2"/>
      <c r="K9" s="2"/>
      <c r="L9" s="2"/>
      <c r="M9" s="2"/>
      <c r="N9" s="2"/>
    </row>
    <row r="10" customFormat="false" ht="41.25" hidden="false" customHeight="true" outlineLevel="0" collapsed="false">
      <c r="A10" s="2"/>
      <c r="B10" s="12"/>
      <c r="C10" s="24" t="s">
        <v>413</v>
      </c>
      <c r="D10" s="31" t="s">
        <v>414</v>
      </c>
      <c r="E10" s="41" t="s">
        <v>415</v>
      </c>
      <c r="F10" s="41" t="s">
        <v>416</v>
      </c>
      <c r="G10" s="41" t="s">
        <v>417</v>
      </c>
      <c r="H10" s="77" t="n">
        <v>2.2</v>
      </c>
      <c r="I10" s="2"/>
      <c r="J10" s="2"/>
      <c r="K10" s="2"/>
      <c r="L10" s="2"/>
      <c r="M10" s="2"/>
      <c r="N10" s="2"/>
    </row>
    <row r="11" customFormat="false" ht="14.25" hidden="false" customHeight="true" outlineLevel="0" collapsed="false">
      <c r="A11" s="2"/>
      <c r="B11" s="63" t="s">
        <v>418</v>
      </c>
      <c r="C11" s="65"/>
      <c r="D11" s="65"/>
      <c r="E11" s="65"/>
      <c r="F11" s="65"/>
      <c r="G11" s="65"/>
      <c r="H11" s="65"/>
      <c r="I11" s="2"/>
      <c r="J11" s="2"/>
      <c r="K11" s="2"/>
      <c r="L11" s="2"/>
      <c r="M11" s="2"/>
      <c r="N11" s="2"/>
    </row>
    <row r="12" customFormat="false" ht="23.25" hidden="false" customHeight="true" outlineLevel="0" collapsed="false">
      <c r="A12" s="2"/>
      <c r="B12" s="12"/>
      <c r="C12" s="24" t="s">
        <v>419</v>
      </c>
      <c r="D12" s="31" t="s">
        <v>420</v>
      </c>
      <c r="E12" s="41" t="s">
        <v>421</v>
      </c>
      <c r="F12" s="41" t="s">
        <v>422</v>
      </c>
      <c r="G12" s="41" t="s">
        <v>423</v>
      </c>
      <c r="H12" s="77" t="n">
        <v>2.3</v>
      </c>
      <c r="I12" s="2"/>
      <c r="J12" s="2"/>
      <c r="K12" s="2"/>
      <c r="L12" s="2"/>
      <c r="M12" s="2"/>
      <c r="N12" s="2"/>
    </row>
    <row r="13" customFormat="false" ht="23.25" hidden="false" customHeight="true" outlineLevel="0" collapsed="false">
      <c r="A13" s="2"/>
      <c r="B13" s="12"/>
      <c r="C13" s="24" t="s">
        <v>424</v>
      </c>
      <c r="D13" s="31" t="s">
        <v>425</v>
      </c>
      <c r="E13" s="41" t="s">
        <v>426</v>
      </c>
      <c r="F13" s="41" t="s">
        <v>427</v>
      </c>
      <c r="G13" s="41" t="s">
        <v>428</v>
      </c>
      <c r="H13" s="77" t="n">
        <v>1.2</v>
      </c>
      <c r="I13" s="2"/>
      <c r="J13" s="2"/>
      <c r="K13" s="2"/>
      <c r="L13" s="2"/>
      <c r="M13" s="2"/>
      <c r="N13" s="2"/>
    </row>
    <row r="14" customFormat="false" ht="27.75" hidden="false" customHeight="true" outlineLevel="0" collapsed="false">
      <c r="A14" s="2"/>
      <c r="B14" s="12"/>
      <c r="C14" s="24" t="s">
        <v>429</v>
      </c>
      <c r="D14" s="31" t="s">
        <v>430</v>
      </c>
      <c r="E14" s="41" t="s">
        <v>431</v>
      </c>
      <c r="F14" s="41" t="s">
        <v>432</v>
      </c>
      <c r="G14" s="41" t="s">
        <v>433</v>
      </c>
      <c r="H14" s="77" t="n">
        <v>1.3</v>
      </c>
      <c r="I14" s="2"/>
      <c r="J14" s="2"/>
      <c r="K14" s="2"/>
      <c r="L14" s="2"/>
      <c r="M14" s="2"/>
      <c r="N14" s="2"/>
    </row>
    <row r="15" customFormat="false" ht="27.75" hidden="false" customHeight="true" outlineLevel="0" collapsed="false">
      <c r="A15" s="2"/>
      <c r="B15" s="12"/>
      <c r="C15" s="24" t="s">
        <v>434</v>
      </c>
      <c r="D15" s="31" t="s">
        <v>435</v>
      </c>
      <c r="E15" s="41" t="s">
        <v>436</v>
      </c>
      <c r="F15" s="41" t="s">
        <v>437</v>
      </c>
      <c r="G15" s="41" t="s">
        <v>438</v>
      </c>
      <c r="H15" s="77" t="s">
        <v>439</v>
      </c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58" t="s">
        <v>440</v>
      </c>
      <c r="C16" s="60"/>
      <c r="D16" s="60"/>
      <c r="E16" s="60"/>
      <c r="F16" s="60"/>
      <c r="G16" s="60"/>
      <c r="H16" s="60"/>
      <c r="I16" s="2"/>
      <c r="J16" s="2"/>
      <c r="K16" s="2"/>
      <c r="L16" s="2"/>
      <c r="M16" s="2"/>
      <c r="N16" s="2"/>
    </row>
    <row r="17" customFormat="false" ht="41.25" hidden="false" customHeight="true" outlineLevel="0" collapsed="false">
      <c r="A17" s="2"/>
      <c r="B17" s="12"/>
      <c r="C17" s="24" t="s">
        <v>441</v>
      </c>
      <c r="D17" s="31" t="s">
        <v>442</v>
      </c>
      <c r="E17" s="41" t="s">
        <v>443</v>
      </c>
      <c r="F17" s="41" t="s">
        <v>444</v>
      </c>
      <c r="G17" s="41" t="s">
        <v>445</v>
      </c>
      <c r="H17" s="77" t="n">
        <v>1.5</v>
      </c>
      <c r="I17" s="2"/>
      <c r="J17" s="2"/>
      <c r="K17" s="2"/>
      <c r="L17" s="2"/>
      <c r="M17" s="2"/>
      <c r="N17" s="2"/>
    </row>
    <row r="18" customFormat="false" ht="27.75" hidden="false" customHeight="true" outlineLevel="0" collapsed="false">
      <c r="A18" s="2"/>
      <c r="B18" s="12"/>
      <c r="C18" s="24" t="s">
        <v>446</v>
      </c>
      <c r="D18" s="31" t="s">
        <v>447</v>
      </c>
      <c r="E18" s="41" t="s">
        <v>448</v>
      </c>
      <c r="F18" s="41" t="s">
        <v>449</v>
      </c>
      <c r="G18" s="41" t="s">
        <v>450</v>
      </c>
      <c r="H18" s="77" t="s">
        <v>451</v>
      </c>
      <c r="I18" s="2"/>
      <c r="J18" s="2"/>
      <c r="K18" s="2"/>
      <c r="L18" s="2"/>
      <c r="M18" s="2"/>
      <c r="N18" s="2"/>
    </row>
    <row r="19" customFormat="false" ht="23.25" hidden="false" customHeight="true" outlineLevel="0" collapsed="false">
      <c r="A19" s="2"/>
      <c r="B19" s="12"/>
      <c r="C19" s="24" t="s">
        <v>452</v>
      </c>
      <c r="D19" s="31" t="s">
        <v>453</v>
      </c>
      <c r="E19" s="41" t="s">
        <v>454</v>
      </c>
      <c r="F19" s="41" t="s">
        <v>455</v>
      </c>
      <c r="G19" s="41" t="s">
        <v>456</v>
      </c>
      <c r="H19" s="77" t="n">
        <v>2.5</v>
      </c>
      <c r="I19" s="2"/>
      <c r="J19" s="2"/>
      <c r="K19" s="2"/>
      <c r="L19" s="2"/>
      <c r="M19" s="2"/>
      <c r="N19" s="2"/>
    </row>
    <row r="20" customFormat="false" ht="27.75" hidden="false" customHeight="true" outlineLevel="0" collapsed="false">
      <c r="A20" s="2"/>
      <c r="B20" s="12"/>
      <c r="C20" s="24" t="s">
        <v>457</v>
      </c>
      <c r="D20" s="31" t="s">
        <v>458</v>
      </c>
      <c r="E20" s="41" t="s">
        <v>459</v>
      </c>
      <c r="F20" s="41" t="s">
        <v>460</v>
      </c>
      <c r="G20" s="41" t="s">
        <v>461</v>
      </c>
      <c r="H20" s="77" t="n">
        <v>1.3</v>
      </c>
      <c r="I20" s="2"/>
      <c r="J20" s="2"/>
      <c r="K20" s="2"/>
      <c r="L20" s="2"/>
      <c r="M20" s="2"/>
      <c r="N20" s="2"/>
    </row>
    <row r="21" customFormat="false" ht="41.25" hidden="false" customHeight="true" outlineLevel="0" collapsed="false">
      <c r="A21" s="2"/>
      <c r="B21" s="53" t="s">
        <v>462</v>
      </c>
      <c r="C21" s="55"/>
      <c r="D21" s="55"/>
      <c r="E21" s="55"/>
      <c r="F21" s="55"/>
      <c r="G21" s="55"/>
      <c r="H21" s="55"/>
      <c r="I21" s="2"/>
      <c r="J21" s="2"/>
      <c r="K21" s="2"/>
      <c r="L21" s="2"/>
      <c r="M21" s="2"/>
      <c r="N21" s="2"/>
    </row>
    <row r="22" customFormat="false" ht="41.25" hidden="false" customHeight="true" outlineLevel="0" collapsed="false">
      <c r="A22" s="2"/>
      <c r="B22" s="12"/>
      <c r="C22" s="24" t="s">
        <v>463</v>
      </c>
      <c r="D22" s="31" t="s">
        <v>464</v>
      </c>
      <c r="E22" s="41" t="s">
        <v>465</v>
      </c>
      <c r="F22" s="41" t="s">
        <v>466</v>
      </c>
      <c r="G22" s="41" t="s">
        <v>439</v>
      </c>
      <c r="H22" s="77" t="s">
        <v>439</v>
      </c>
      <c r="I22" s="2"/>
      <c r="J22" s="2"/>
      <c r="K22" s="2"/>
      <c r="L22" s="2"/>
      <c r="M22" s="2"/>
      <c r="N22" s="2"/>
    </row>
    <row r="23" customFormat="false" ht="27.75" hidden="false" customHeight="true" outlineLevel="0" collapsed="false">
      <c r="A23" s="2"/>
      <c r="B23" s="12"/>
      <c r="C23" s="24" t="s">
        <v>467</v>
      </c>
      <c r="D23" s="31" t="s">
        <v>468</v>
      </c>
      <c r="E23" s="41" t="s">
        <v>469</v>
      </c>
      <c r="F23" s="41" t="s">
        <v>470</v>
      </c>
      <c r="G23" s="41" t="s">
        <v>471</v>
      </c>
      <c r="H23" s="77" t="s">
        <v>439</v>
      </c>
      <c r="I23" s="2"/>
      <c r="J23" s="2"/>
      <c r="K23" s="2"/>
      <c r="L23" s="2"/>
      <c r="M23" s="2"/>
      <c r="N23" s="2"/>
    </row>
    <row r="24" customFormat="false" ht="27.75" hidden="false" customHeight="true" outlineLevel="0" collapsed="false">
      <c r="A24" s="2"/>
      <c r="B24" s="12"/>
      <c r="C24" s="24" t="s">
        <v>472</v>
      </c>
      <c r="D24" s="31" t="s">
        <v>473</v>
      </c>
      <c r="E24" s="41" t="s">
        <v>474</v>
      </c>
      <c r="F24" s="41" t="s">
        <v>475</v>
      </c>
      <c r="G24" s="41" t="s">
        <v>476</v>
      </c>
      <c r="H24" s="77" t="s">
        <v>439</v>
      </c>
      <c r="I24" s="2"/>
      <c r="J24" s="2"/>
      <c r="K24" s="2"/>
      <c r="L24" s="2"/>
      <c r="M24" s="2"/>
      <c r="N24" s="2"/>
    </row>
    <row r="25" customFormat="false" ht="27.75" hidden="false" customHeight="true" outlineLevel="0" collapsed="false">
      <c r="A25" s="2"/>
      <c r="B25" s="12"/>
      <c r="C25" s="24" t="s">
        <v>477</v>
      </c>
      <c r="D25" s="31" t="s">
        <v>478</v>
      </c>
      <c r="E25" s="41" t="s">
        <v>479</v>
      </c>
      <c r="F25" s="41" t="s">
        <v>480</v>
      </c>
      <c r="G25" s="41" t="s">
        <v>439</v>
      </c>
      <c r="H25" s="77" t="s">
        <v>439</v>
      </c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true" outlineLevel="0" collapsed="false">
      <c r="A27" s="2"/>
      <c r="B27" s="43" t="s">
        <v>481</v>
      </c>
      <c r="C27" s="43"/>
      <c r="D27" s="43"/>
      <c r="E27" s="43"/>
      <c r="F27" s="43"/>
      <c r="G27" s="43"/>
      <c r="H27" s="43"/>
      <c r="I27" s="43"/>
      <c r="J27" s="43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2">
    <mergeCell ref="B2:J2"/>
    <mergeCell ref="B27:J2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28"/>
    <col collapsed="false" customWidth="true" hidden="false" outlineLevel="0" max="8" min="8" style="1" width="2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482</v>
      </c>
      <c r="C2" s="16"/>
      <c r="D2" s="16"/>
      <c r="E2" s="16"/>
      <c r="F2" s="16"/>
      <c r="G2" s="16"/>
      <c r="H2" s="16"/>
      <c r="I2" s="16"/>
      <c r="J2" s="16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483</v>
      </c>
      <c r="C4" s="30" t="s">
        <v>484</v>
      </c>
      <c r="D4" s="30" t="s">
        <v>485</v>
      </c>
      <c r="E4" s="30" t="s">
        <v>486</v>
      </c>
      <c r="F4" s="30" t="s">
        <v>487</v>
      </c>
      <c r="G4" s="30" t="s">
        <v>488</v>
      </c>
      <c r="H4" s="30" t="s">
        <v>489</v>
      </c>
      <c r="I4" s="2"/>
      <c r="J4" s="2"/>
      <c r="K4" s="2"/>
      <c r="L4" s="2"/>
      <c r="M4" s="2"/>
      <c r="N4" s="2"/>
    </row>
    <row r="5" customFormat="false" ht="75" hidden="false" customHeight="true" outlineLevel="0" collapsed="false">
      <c r="A5" s="2"/>
      <c r="B5" s="100" t="n">
        <v>1</v>
      </c>
      <c r="C5" s="75" t="s">
        <v>490</v>
      </c>
      <c r="D5" s="101" t="s">
        <v>491</v>
      </c>
      <c r="E5" s="102" t="s">
        <v>492</v>
      </c>
      <c r="F5" s="103" t="s">
        <v>493</v>
      </c>
      <c r="G5" s="102" t="s">
        <v>494</v>
      </c>
      <c r="H5" s="104" t="s">
        <v>495</v>
      </c>
      <c r="I5" s="2"/>
      <c r="J5" s="2"/>
      <c r="K5" s="2"/>
      <c r="L5" s="2"/>
      <c r="M5" s="2"/>
      <c r="N5" s="2"/>
    </row>
    <row r="6" customFormat="false" ht="75" hidden="false" customHeight="true" outlineLevel="0" collapsed="false">
      <c r="A6" s="2"/>
      <c r="B6" s="100" t="n">
        <v>2</v>
      </c>
      <c r="C6" s="75" t="s">
        <v>496</v>
      </c>
      <c r="D6" s="101" t="s">
        <v>497</v>
      </c>
      <c r="E6" s="102" t="s">
        <v>498</v>
      </c>
      <c r="F6" s="103" t="s">
        <v>499</v>
      </c>
      <c r="G6" s="102" t="s">
        <v>500</v>
      </c>
      <c r="H6" s="104" t="s">
        <v>501</v>
      </c>
      <c r="I6" s="2"/>
      <c r="J6" s="2"/>
      <c r="K6" s="2"/>
      <c r="L6" s="2"/>
      <c r="M6" s="2"/>
      <c r="N6" s="2"/>
    </row>
    <row r="7" customFormat="false" ht="75" hidden="false" customHeight="true" outlineLevel="0" collapsed="false">
      <c r="A7" s="2"/>
      <c r="B7" s="100" t="n">
        <v>3</v>
      </c>
      <c r="C7" s="75" t="s">
        <v>502</v>
      </c>
      <c r="D7" s="101" t="s">
        <v>503</v>
      </c>
      <c r="E7" s="102" t="s">
        <v>504</v>
      </c>
      <c r="F7" s="103" t="s">
        <v>505</v>
      </c>
      <c r="G7" s="102" t="s">
        <v>506</v>
      </c>
      <c r="H7" s="104" t="s">
        <v>507</v>
      </c>
      <c r="I7" s="2"/>
      <c r="J7" s="2"/>
      <c r="K7" s="2"/>
      <c r="L7" s="2"/>
      <c r="M7" s="2"/>
      <c r="N7" s="2"/>
    </row>
    <row r="8" customFormat="false" ht="75" hidden="false" customHeight="true" outlineLevel="0" collapsed="false">
      <c r="A8" s="2"/>
      <c r="B8" s="100" t="n">
        <v>4</v>
      </c>
      <c r="C8" s="75" t="s">
        <v>508</v>
      </c>
      <c r="D8" s="101" t="s">
        <v>509</v>
      </c>
      <c r="E8" s="102" t="s">
        <v>510</v>
      </c>
      <c r="F8" s="103" t="s">
        <v>511</v>
      </c>
      <c r="G8" s="102" t="s">
        <v>512</v>
      </c>
      <c r="H8" s="104" t="s">
        <v>513</v>
      </c>
      <c r="I8" s="2"/>
      <c r="J8" s="2"/>
      <c r="K8" s="2"/>
      <c r="L8" s="2"/>
      <c r="M8" s="2"/>
      <c r="N8" s="2"/>
    </row>
    <row r="9" customFormat="false" ht="75" hidden="false" customHeight="true" outlineLevel="0" collapsed="false">
      <c r="A9" s="2"/>
      <c r="B9" s="100" t="n">
        <v>5</v>
      </c>
      <c r="C9" s="75" t="s">
        <v>514</v>
      </c>
      <c r="D9" s="101" t="s">
        <v>491</v>
      </c>
      <c r="E9" s="102" t="s">
        <v>515</v>
      </c>
      <c r="F9" s="103" t="s">
        <v>516</v>
      </c>
      <c r="G9" s="102" t="s">
        <v>517</v>
      </c>
      <c r="H9" s="104" t="s">
        <v>518</v>
      </c>
      <c r="I9" s="2"/>
      <c r="J9" s="2"/>
      <c r="K9" s="2"/>
      <c r="L9" s="2"/>
      <c r="M9" s="2"/>
      <c r="N9" s="2"/>
    </row>
    <row r="10" customFormat="false" ht="75" hidden="false" customHeight="true" outlineLevel="0" collapsed="false">
      <c r="A10" s="2"/>
      <c r="B10" s="100" t="n">
        <v>6</v>
      </c>
      <c r="C10" s="75" t="s">
        <v>519</v>
      </c>
      <c r="D10" s="101" t="s">
        <v>520</v>
      </c>
      <c r="E10" s="102" t="s">
        <v>521</v>
      </c>
      <c r="F10" s="103" t="s">
        <v>522</v>
      </c>
      <c r="G10" s="102" t="s">
        <v>523</v>
      </c>
      <c r="H10" s="104" t="s">
        <v>524</v>
      </c>
      <c r="I10" s="2"/>
      <c r="J10" s="2"/>
      <c r="K10" s="2"/>
      <c r="L10" s="2"/>
      <c r="M10" s="2"/>
      <c r="N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72" hidden="false" customHeight="true" outlineLevel="0" collapsed="false">
      <c r="A12" s="2"/>
      <c r="B12" s="18" t="s">
        <v>525</v>
      </c>
      <c r="C12" s="2"/>
      <c r="D12" s="2"/>
      <c r="E12" s="73" t="s">
        <v>526</v>
      </c>
      <c r="F12" s="2"/>
      <c r="G12" s="2"/>
      <c r="H12" s="2"/>
      <c r="I12" s="2"/>
      <c r="J12" s="2"/>
      <c r="K12" s="2"/>
      <c r="L12" s="2"/>
      <c r="M12" s="2"/>
      <c r="N12" s="2"/>
    </row>
    <row r="13" customFormat="false" ht="79.5" hidden="false" customHeight="true" outlineLevel="0" collapsed="false">
      <c r="A13" s="2"/>
      <c r="B13" s="105" t="s">
        <v>527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1">
    <mergeCell ref="B2:J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7" min="5" style="1" width="10"/>
    <col collapsed="false" customWidth="true" hidden="false" outlineLevel="0" max="8" min="8" style="1" width="38"/>
    <col collapsed="false" customWidth="true" hidden="false" outlineLevel="0" max="9" min="9" style="1" width="1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528</v>
      </c>
      <c r="C2" s="16"/>
      <c r="D2" s="16"/>
      <c r="E2" s="16"/>
      <c r="F2" s="16"/>
      <c r="G2" s="16"/>
      <c r="H2" s="16"/>
      <c r="I2" s="16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529</v>
      </c>
      <c r="C4" s="30" t="s">
        <v>530</v>
      </c>
      <c r="D4" s="30" t="s">
        <v>531</v>
      </c>
      <c r="E4" s="30" t="s">
        <v>532</v>
      </c>
      <c r="F4" s="30" t="s">
        <v>533</v>
      </c>
      <c r="G4" s="30" t="s">
        <v>534</v>
      </c>
      <c r="H4" s="30" t="s">
        <v>535</v>
      </c>
      <c r="I4" s="30" t="s">
        <v>536</v>
      </c>
      <c r="J4" s="2"/>
      <c r="K4" s="2"/>
      <c r="L4" s="2"/>
      <c r="M4" s="2"/>
      <c r="N4" s="2"/>
    </row>
    <row r="5" customFormat="false" ht="34.5" hidden="false" customHeight="true" outlineLevel="0" collapsed="false">
      <c r="A5" s="2"/>
      <c r="B5" s="77" t="n">
        <v>1</v>
      </c>
      <c r="C5" s="49" t="s">
        <v>537</v>
      </c>
      <c r="D5" s="25" t="s">
        <v>538</v>
      </c>
      <c r="E5" s="80" t="n">
        <v>0.35</v>
      </c>
      <c r="F5" s="80" t="n">
        <v>0.3</v>
      </c>
      <c r="G5" s="106" t="n">
        <f aca="false">E5*F5</f>
        <v>0.105</v>
      </c>
      <c r="H5" s="107" t="s">
        <v>539</v>
      </c>
      <c r="I5" s="42"/>
      <c r="J5" s="2"/>
      <c r="K5" s="2"/>
      <c r="L5" s="2"/>
      <c r="M5" s="2"/>
      <c r="N5" s="2"/>
    </row>
    <row r="6" customFormat="false" ht="34.5" hidden="false" customHeight="true" outlineLevel="0" collapsed="false">
      <c r="A6" s="2"/>
      <c r="B6" s="77" t="n">
        <v>2</v>
      </c>
      <c r="C6" s="49" t="s">
        <v>537</v>
      </c>
      <c r="D6" s="25" t="s">
        <v>540</v>
      </c>
      <c r="E6" s="80" t="n">
        <v>0.25</v>
      </c>
      <c r="F6" s="80" t="n">
        <v>0.25</v>
      </c>
      <c r="G6" s="106" t="n">
        <f aca="false">E6*F6</f>
        <v>0.0625</v>
      </c>
      <c r="H6" s="107" t="s">
        <v>541</v>
      </c>
      <c r="I6" s="42"/>
      <c r="J6" s="2"/>
      <c r="K6" s="2"/>
      <c r="L6" s="2"/>
      <c r="M6" s="2"/>
      <c r="N6" s="2"/>
    </row>
    <row r="7" customFormat="false" ht="34.5" hidden="false" customHeight="true" outlineLevel="0" collapsed="false">
      <c r="A7" s="2"/>
      <c r="B7" s="77" t="n">
        <v>3</v>
      </c>
      <c r="C7" s="49" t="s">
        <v>392</v>
      </c>
      <c r="D7" s="25" t="s">
        <v>542</v>
      </c>
      <c r="E7" s="80" t="n">
        <v>0.3</v>
      </c>
      <c r="F7" s="80" t="n">
        <v>0.3</v>
      </c>
      <c r="G7" s="106" t="n">
        <f aca="false">E7*F7</f>
        <v>0.09</v>
      </c>
      <c r="H7" s="107" t="s">
        <v>543</v>
      </c>
      <c r="I7" s="42"/>
      <c r="J7" s="2"/>
      <c r="K7" s="2"/>
      <c r="L7" s="2"/>
      <c r="M7" s="2"/>
      <c r="N7" s="2"/>
    </row>
    <row r="8" customFormat="false" ht="34.5" hidden="false" customHeight="true" outlineLevel="0" collapsed="false">
      <c r="A8" s="2"/>
      <c r="B8" s="77" t="n">
        <v>4</v>
      </c>
      <c r="C8" s="49" t="s">
        <v>392</v>
      </c>
      <c r="D8" s="25" t="s">
        <v>544</v>
      </c>
      <c r="E8" s="80" t="n">
        <v>0.25</v>
      </c>
      <c r="F8" s="80" t="n">
        <v>0.25</v>
      </c>
      <c r="G8" s="106" t="n">
        <f aca="false">E8*F8</f>
        <v>0.0625</v>
      </c>
      <c r="H8" s="107" t="s">
        <v>545</v>
      </c>
      <c r="I8" s="42"/>
      <c r="J8" s="2"/>
      <c r="K8" s="2"/>
      <c r="L8" s="2"/>
      <c r="M8" s="2"/>
      <c r="N8" s="2"/>
    </row>
    <row r="9" customFormat="false" ht="34.5" hidden="false" customHeight="true" outlineLevel="0" collapsed="false">
      <c r="A9" s="2"/>
      <c r="B9" s="77" t="n">
        <v>5</v>
      </c>
      <c r="C9" s="49" t="s">
        <v>392</v>
      </c>
      <c r="D9" s="25" t="s">
        <v>546</v>
      </c>
      <c r="E9" s="80" t="n">
        <v>0.1</v>
      </c>
      <c r="F9" s="80" t="n">
        <v>0.4</v>
      </c>
      <c r="G9" s="106" t="n">
        <f aca="false">E9*F9</f>
        <v>0.04</v>
      </c>
      <c r="H9" s="107" t="s">
        <v>547</v>
      </c>
      <c r="I9" s="42"/>
      <c r="J9" s="2"/>
      <c r="K9" s="2"/>
      <c r="L9" s="2"/>
      <c r="M9" s="2"/>
      <c r="N9" s="2"/>
    </row>
    <row r="10" customFormat="false" ht="34.5" hidden="false" customHeight="true" outlineLevel="0" collapsed="false">
      <c r="A10" s="2"/>
      <c r="B10" s="77" t="n">
        <v>6</v>
      </c>
      <c r="C10" s="49" t="s">
        <v>548</v>
      </c>
      <c r="D10" s="25" t="s">
        <v>549</v>
      </c>
      <c r="E10" s="80" t="n">
        <v>0.2</v>
      </c>
      <c r="F10" s="80" t="n">
        <v>0.25</v>
      </c>
      <c r="G10" s="106" t="n">
        <f aca="false">E10*F10</f>
        <v>0.05</v>
      </c>
      <c r="H10" s="107" t="s">
        <v>550</v>
      </c>
      <c r="I10" s="42"/>
      <c r="J10" s="2"/>
      <c r="K10" s="2"/>
      <c r="L10" s="2"/>
      <c r="M10" s="2"/>
      <c r="N10" s="2"/>
    </row>
    <row r="11" customFormat="false" ht="34.5" hidden="false" customHeight="true" outlineLevel="0" collapsed="false">
      <c r="A11" s="2"/>
      <c r="B11" s="77" t="n">
        <v>7</v>
      </c>
      <c r="C11" s="49" t="s">
        <v>548</v>
      </c>
      <c r="D11" s="25" t="s">
        <v>551</v>
      </c>
      <c r="E11" s="80" t="n">
        <v>0.3</v>
      </c>
      <c r="F11" s="80" t="n">
        <v>0.2</v>
      </c>
      <c r="G11" s="106" t="n">
        <f aca="false">E11*F11</f>
        <v>0.06</v>
      </c>
      <c r="H11" s="107" t="s">
        <v>552</v>
      </c>
      <c r="I11" s="42"/>
      <c r="J11" s="2"/>
      <c r="K11" s="2"/>
      <c r="L11" s="2"/>
      <c r="M11" s="2"/>
      <c r="N11" s="2"/>
    </row>
    <row r="12" customFormat="false" ht="34.5" hidden="false" customHeight="true" outlineLevel="0" collapsed="false">
      <c r="A12" s="2"/>
      <c r="B12" s="77" t="n">
        <v>8</v>
      </c>
      <c r="C12" s="49" t="s">
        <v>553</v>
      </c>
      <c r="D12" s="25" t="s">
        <v>554</v>
      </c>
      <c r="E12" s="80" t="n">
        <v>0.2</v>
      </c>
      <c r="F12" s="80" t="n">
        <v>0.35</v>
      </c>
      <c r="G12" s="106" t="n">
        <f aca="false">E12*F12</f>
        <v>0.07</v>
      </c>
      <c r="H12" s="107" t="s">
        <v>555</v>
      </c>
      <c r="I12" s="42"/>
      <c r="J12" s="2"/>
      <c r="K12" s="2"/>
      <c r="L12" s="2"/>
      <c r="M12" s="2"/>
      <c r="N12" s="2"/>
    </row>
    <row r="13" customFormat="false" ht="34.5" hidden="false" customHeight="true" outlineLevel="0" collapsed="false">
      <c r="A13" s="2"/>
      <c r="B13" s="77" t="n">
        <v>9</v>
      </c>
      <c r="C13" s="49" t="s">
        <v>553</v>
      </c>
      <c r="D13" s="25" t="s">
        <v>556</v>
      </c>
      <c r="E13" s="80" t="n">
        <v>0.15</v>
      </c>
      <c r="F13" s="80" t="n">
        <v>0.3</v>
      </c>
      <c r="G13" s="106" t="n">
        <f aca="false">E13*F13</f>
        <v>0.045</v>
      </c>
      <c r="H13" s="107" t="s">
        <v>557</v>
      </c>
      <c r="I13" s="42"/>
      <c r="J13" s="2"/>
      <c r="K13" s="2"/>
      <c r="L13" s="2"/>
      <c r="M13" s="2"/>
      <c r="N13" s="2"/>
    </row>
    <row r="14" customFormat="false" ht="34.5" hidden="false" customHeight="true" outlineLevel="0" collapsed="false">
      <c r="A14" s="2"/>
      <c r="B14" s="77" t="n">
        <v>10</v>
      </c>
      <c r="C14" s="49" t="s">
        <v>558</v>
      </c>
      <c r="D14" s="25" t="s">
        <v>559</v>
      </c>
      <c r="E14" s="80" t="n">
        <v>0.3</v>
      </c>
      <c r="F14" s="80" t="n">
        <v>0.2</v>
      </c>
      <c r="G14" s="106" t="n">
        <f aca="false">E14*F14</f>
        <v>0.06</v>
      </c>
      <c r="H14" s="107" t="s">
        <v>560</v>
      </c>
      <c r="I14" s="42"/>
      <c r="J14" s="2"/>
      <c r="K14" s="2"/>
      <c r="L14" s="2"/>
      <c r="M14" s="2"/>
      <c r="N14" s="2"/>
    </row>
    <row r="15" customFormat="false" ht="34.5" hidden="false" customHeight="true" outlineLevel="0" collapsed="false">
      <c r="A15" s="2"/>
      <c r="B15" s="77" t="n">
        <v>11</v>
      </c>
      <c r="C15" s="49" t="s">
        <v>561</v>
      </c>
      <c r="D15" s="25" t="s">
        <v>562</v>
      </c>
      <c r="E15" s="80" t="n">
        <v>0.2</v>
      </c>
      <c r="F15" s="80" t="n">
        <v>0.3</v>
      </c>
      <c r="G15" s="106" t="n">
        <f aca="false">E15*F15</f>
        <v>0.06</v>
      </c>
      <c r="H15" s="107" t="s">
        <v>563</v>
      </c>
      <c r="I15" s="42"/>
      <c r="J15" s="2"/>
      <c r="K15" s="2"/>
      <c r="L15" s="2"/>
      <c r="M15" s="2"/>
      <c r="N15" s="2"/>
    </row>
    <row r="16" customFormat="false" ht="34.5" hidden="false" customHeight="true" outlineLevel="0" collapsed="false">
      <c r="A16" s="2"/>
      <c r="B16" s="77" t="n">
        <v>12</v>
      </c>
      <c r="C16" s="49" t="s">
        <v>561</v>
      </c>
      <c r="D16" s="25" t="s">
        <v>564</v>
      </c>
      <c r="E16" s="80" t="n">
        <v>0.1</v>
      </c>
      <c r="F16" s="80" t="n">
        <v>0.4</v>
      </c>
      <c r="G16" s="106" t="n">
        <f aca="false">E16*F16</f>
        <v>0.04</v>
      </c>
      <c r="H16" s="107" t="s">
        <v>565</v>
      </c>
      <c r="I16" s="4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77" t="n">
        <v>13</v>
      </c>
      <c r="C17" s="42"/>
      <c r="D17" s="42"/>
      <c r="E17" s="42"/>
      <c r="F17" s="42"/>
      <c r="G17" s="106" t="str">
        <f aca="false">IF(AND(E17&lt;&gt;"",F17&lt;&gt;""),E17*F17,"")</f>
        <v/>
      </c>
      <c r="H17" s="108"/>
      <c r="I17" s="4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77" t="n">
        <v>14</v>
      </c>
      <c r="C18" s="42"/>
      <c r="D18" s="42"/>
      <c r="E18" s="42"/>
      <c r="F18" s="42"/>
      <c r="G18" s="106" t="str">
        <f aca="false">IF(AND(E18&lt;&gt;"",F18&lt;&gt;""),E18*F18,"")</f>
        <v/>
      </c>
      <c r="H18" s="108"/>
      <c r="I18" s="4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7.25" hidden="false" customHeight="true" outlineLevel="0" collapsed="false">
      <c r="A20" s="2"/>
      <c r="B20" s="2"/>
      <c r="C20" s="33" t="s">
        <v>566</v>
      </c>
      <c r="D20" s="33"/>
      <c r="E20" s="33"/>
      <c r="F20" s="33"/>
      <c r="G20" s="109" t="n">
        <f aca="false">IFERROR(AVERAGE(G5:G18),0)</f>
        <v>0.0620833333333333</v>
      </c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B2:I2"/>
    <mergeCell ref="C20:F20"/>
  </mergeCells>
  <conditionalFormatting sqref="G5:G18">
    <cfRule type="cellIs" priority="2" operator="greaterThan" aboveAverage="0" equalAverage="0" bottom="0" percent="0" rank="0" text="" dxfId="2">
      <formula>0.15</formula>
    </cfRule>
    <cfRule type="cellIs" priority="3" operator="between" aboveAverage="0" equalAverage="0" bottom="0" percent="0" rank="0" text="" dxfId="1">
      <formula>0.06</formula>
      <formula>0.15</formula>
    </cfRule>
    <cfRule type="cellIs" priority="4" operator="lessThanOrEqual" aboveAverage="0" equalAverage="0" bottom="0" percent="0" rank="0" text="" dxfId="0">
      <formula>0.06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2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567</v>
      </c>
      <c r="C2" s="16"/>
      <c r="D2" s="16"/>
      <c r="E2" s="16"/>
      <c r="F2" s="16"/>
      <c r="G2" s="16"/>
      <c r="H2" s="16"/>
      <c r="I2" s="16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568</v>
      </c>
      <c r="C4" s="30" t="s">
        <v>569</v>
      </c>
      <c r="D4" s="30" t="s">
        <v>570</v>
      </c>
      <c r="E4" s="30" t="s">
        <v>571</v>
      </c>
      <c r="F4" s="30" t="s">
        <v>572</v>
      </c>
      <c r="G4" s="30" t="s">
        <v>573</v>
      </c>
      <c r="H4" s="2"/>
      <c r="I4" s="2"/>
      <c r="J4" s="2"/>
      <c r="K4" s="2"/>
      <c r="L4" s="2"/>
      <c r="M4" s="2"/>
      <c r="N4" s="2"/>
    </row>
    <row r="5" customFormat="false" ht="39.75" hidden="false" customHeight="true" outlineLevel="0" collapsed="false">
      <c r="A5" s="2"/>
      <c r="B5" s="83" t="s">
        <v>553</v>
      </c>
      <c r="C5" s="75" t="s">
        <v>574</v>
      </c>
      <c r="D5" s="110" t="s">
        <v>575</v>
      </c>
      <c r="E5" s="41" t="s">
        <v>576</v>
      </c>
      <c r="F5" s="41" t="s">
        <v>577</v>
      </c>
      <c r="G5" s="102" t="s">
        <v>578</v>
      </c>
      <c r="H5" s="2"/>
      <c r="I5" s="2"/>
      <c r="J5" s="2"/>
      <c r="K5" s="2"/>
      <c r="L5" s="2"/>
      <c r="M5" s="2"/>
      <c r="N5" s="2"/>
    </row>
    <row r="6" customFormat="false" ht="39.75" hidden="false" customHeight="true" outlineLevel="0" collapsed="false">
      <c r="A6" s="2"/>
      <c r="B6" s="83" t="s">
        <v>553</v>
      </c>
      <c r="C6" s="75" t="s">
        <v>579</v>
      </c>
      <c r="D6" s="110" t="s">
        <v>580</v>
      </c>
      <c r="E6" s="41" t="s">
        <v>581</v>
      </c>
      <c r="F6" s="41" t="s">
        <v>582</v>
      </c>
      <c r="G6" s="102" t="s">
        <v>583</v>
      </c>
      <c r="H6" s="2"/>
      <c r="I6" s="2"/>
      <c r="J6" s="2"/>
      <c r="K6" s="2"/>
      <c r="L6" s="2"/>
      <c r="M6" s="2"/>
      <c r="N6" s="2"/>
    </row>
    <row r="7" customFormat="false" ht="39.75" hidden="false" customHeight="true" outlineLevel="0" collapsed="false">
      <c r="A7" s="2"/>
      <c r="B7" s="81" t="s">
        <v>584</v>
      </c>
      <c r="C7" s="75" t="s">
        <v>585</v>
      </c>
      <c r="D7" s="101" t="s">
        <v>586</v>
      </c>
      <c r="E7" s="41" t="s">
        <v>587</v>
      </c>
      <c r="F7" s="41" t="s">
        <v>588</v>
      </c>
      <c r="G7" s="102" t="s">
        <v>589</v>
      </c>
      <c r="H7" s="2"/>
      <c r="I7" s="2"/>
      <c r="J7" s="2"/>
      <c r="K7" s="2"/>
      <c r="L7" s="2"/>
      <c r="M7" s="2"/>
      <c r="N7" s="2"/>
    </row>
    <row r="8" customFormat="false" ht="39.75" hidden="false" customHeight="true" outlineLevel="0" collapsed="false">
      <c r="A8" s="2"/>
      <c r="B8" s="81" t="s">
        <v>584</v>
      </c>
      <c r="C8" s="75" t="s">
        <v>590</v>
      </c>
      <c r="D8" s="101" t="s">
        <v>591</v>
      </c>
      <c r="E8" s="41" t="s">
        <v>592</v>
      </c>
      <c r="F8" s="41" t="s">
        <v>593</v>
      </c>
      <c r="G8" s="102" t="s">
        <v>594</v>
      </c>
      <c r="H8" s="2"/>
      <c r="I8" s="2"/>
      <c r="J8" s="2"/>
      <c r="K8" s="2"/>
      <c r="L8" s="2"/>
      <c r="M8" s="2"/>
      <c r="N8" s="2"/>
    </row>
    <row r="9" customFormat="false" ht="39.75" hidden="false" customHeight="true" outlineLevel="0" collapsed="false">
      <c r="A9" s="2"/>
      <c r="B9" s="85" t="s">
        <v>392</v>
      </c>
      <c r="C9" s="75" t="s">
        <v>595</v>
      </c>
      <c r="D9" s="111" t="s">
        <v>116</v>
      </c>
      <c r="E9" s="41" t="s">
        <v>596</v>
      </c>
      <c r="F9" s="41" t="s">
        <v>597</v>
      </c>
      <c r="G9" s="102" t="s">
        <v>598</v>
      </c>
      <c r="H9" s="2"/>
      <c r="I9" s="2"/>
      <c r="J9" s="2"/>
      <c r="K9" s="2"/>
      <c r="L9" s="2"/>
      <c r="M9" s="2"/>
      <c r="N9" s="2"/>
    </row>
    <row r="10" customFormat="false" ht="39.75" hidden="false" customHeight="true" outlineLevel="0" collapsed="false">
      <c r="A10" s="2"/>
      <c r="B10" s="85" t="s">
        <v>392</v>
      </c>
      <c r="C10" s="75" t="s">
        <v>599</v>
      </c>
      <c r="D10" s="111" t="s">
        <v>122</v>
      </c>
      <c r="E10" s="41" t="s">
        <v>600</v>
      </c>
      <c r="F10" s="41" t="s">
        <v>601</v>
      </c>
      <c r="G10" s="102" t="s">
        <v>602</v>
      </c>
      <c r="H10" s="2"/>
      <c r="I10" s="2"/>
      <c r="J10" s="2"/>
      <c r="K10" s="2"/>
      <c r="L10" s="2"/>
      <c r="M10" s="2"/>
      <c r="N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50.25" hidden="false" customHeight="true" outlineLevel="0" collapsed="false">
      <c r="A13" s="2"/>
      <c r="B13" s="22" t="s">
        <v>603</v>
      </c>
      <c r="C13" s="23"/>
      <c r="D13" s="23"/>
      <c r="E13" s="23"/>
      <c r="F13" s="23"/>
      <c r="G13" s="23"/>
      <c r="H13" s="2"/>
      <c r="I13" s="2"/>
      <c r="J13" s="2"/>
      <c r="K13" s="2"/>
      <c r="L13" s="2"/>
      <c r="M13" s="2"/>
      <c r="N13" s="2"/>
    </row>
    <row r="14" customFormat="false" ht="23.25" hidden="false" customHeight="true" outlineLevel="0" collapsed="false">
      <c r="A14" s="2"/>
      <c r="B14" s="30" t="s">
        <v>604</v>
      </c>
      <c r="C14" s="30" t="s">
        <v>605</v>
      </c>
      <c r="D14" s="30" t="s">
        <v>606</v>
      </c>
      <c r="E14" s="30" t="s">
        <v>607</v>
      </c>
      <c r="F14" s="30" t="s">
        <v>608</v>
      </c>
      <c r="G14" s="30" t="s">
        <v>609</v>
      </c>
      <c r="H14" s="2"/>
      <c r="I14" s="2"/>
      <c r="J14" s="2"/>
      <c r="K14" s="2"/>
      <c r="L14" s="2"/>
      <c r="M14" s="2"/>
      <c r="N14" s="2"/>
    </row>
    <row r="15" customFormat="false" ht="34.5" hidden="false" customHeight="true" outlineLevel="0" collapsed="false">
      <c r="A15" s="2"/>
      <c r="B15" s="112" t="s">
        <v>610</v>
      </c>
      <c r="C15" s="41" t="s">
        <v>611</v>
      </c>
      <c r="D15" s="113" t="s">
        <v>612</v>
      </c>
      <c r="E15" s="113" t="s">
        <v>613</v>
      </c>
      <c r="F15" s="41" t="s">
        <v>614</v>
      </c>
      <c r="G15" s="114" t="s">
        <v>615</v>
      </c>
      <c r="H15" s="2"/>
      <c r="I15" s="2"/>
      <c r="J15" s="2"/>
      <c r="K15" s="2"/>
      <c r="L15" s="2"/>
      <c r="M15" s="2"/>
      <c r="N15" s="2"/>
    </row>
    <row r="16" customFormat="false" ht="34.5" hidden="false" customHeight="true" outlineLevel="0" collapsed="false">
      <c r="A16" s="2"/>
      <c r="B16" s="115" t="s">
        <v>616</v>
      </c>
      <c r="C16" s="41" t="s">
        <v>617</v>
      </c>
      <c r="D16" s="116" t="s">
        <v>613</v>
      </c>
      <c r="E16" s="116" t="s">
        <v>618</v>
      </c>
      <c r="F16" s="41" t="s">
        <v>619</v>
      </c>
      <c r="G16" s="114" t="s">
        <v>620</v>
      </c>
      <c r="H16" s="2"/>
      <c r="I16" s="2"/>
      <c r="J16" s="2"/>
      <c r="K16" s="2"/>
      <c r="L16" s="2"/>
      <c r="M16" s="2"/>
      <c r="N16" s="2"/>
    </row>
    <row r="17" customFormat="false" ht="34.5" hidden="false" customHeight="true" outlineLevel="0" collapsed="false">
      <c r="A17" s="2"/>
      <c r="B17" s="81" t="s">
        <v>621</v>
      </c>
      <c r="C17" s="41" t="s">
        <v>622</v>
      </c>
      <c r="D17" s="117" t="s">
        <v>623</v>
      </c>
      <c r="E17" s="117" t="s">
        <v>624</v>
      </c>
      <c r="F17" s="41" t="s">
        <v>625</v>
      </c>
      <c r="G17" s="114" t="s">
        <v>626</v>
      </c>
      <c r="H17" s="2"/>
      <c r="I17" s="2"/>
      <c r="J17" s="2"/>
      <c r="K17" s="2"/>
      <c r="L17" s="2"/>
      <c r="M17" s="2"/>
      <c r="N17" s="2"/>
    </row>
    <row r="18" customFormat="false" ht="34.5" hidden="false" customHeight="true" outlineLevel="0" collapsed="false">
      <c r="A18" s="2"/>
      <c r="B18" s="85" t="s">
        <v>627</v>
      </c>
      <c r="C18" s="41" t="s">
        <v>628</v>
      </c>
      <c r="D18" s="118" t="s">
        <v>618</v>
      </c>
      <c r="E18" s="118" t="s">
        <v>629</v>
      </c>
      <c r="F18" s="41" t="s">
        <v>630</v>
      </c>
      <c r="G18" s="114" t="s">
        <v>631</v>
      </c>
      <c r="H18" s="2"/>
      <c r="I18" s="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1">
    <mergeCell ref="B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pane xSplit="0" ySplit="5" topLeftCell="A6" activePane="bottomLeft" state="frozen"/>
      <selection pane="topLeft" activeCell="A16" activeCellId="0" sqref="A16"/>
      <selection pane="bottomLeft" activeCell="A16" activeCellId="0" sqref="A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632</v>
      </c>
      <c r="C2" s="16"/>
      <c r="D2" s="16"/>
      <c r="E2" s="16"/>
      <c r="F2" s="16"/>
      <c r="G2" s="16"/>
      <c r="H2" s="16"/>
      <c r="I2" s="16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7.25" hidden="false" customHeight="true" outlineLevel="0" collapsed="false">
      <c r="A4" s="2"/>
      <c r="B4" s="22" t="s">
        <v>633</v>
      </c>
      <c r="C4" s="23"/>
      <c r="D4" s="23"/>
      <c r="E4" s="23"/>
      <c r="F4" s="23"/>
      <c r="G4" s="23"/>
      <c r="H4" s="23"/>
      <c r="I4" s="23"/>
      <c r="J4" s="2"/>
      <c r="K4" s="2"/>
      <c r="L4" s="2"/>
      <c r="M4" s="2"/>
      <c r="N4" s="2"/>
    </row>
    <row r="5" customFormat="false" ht="34.5" hidden="false" customHeight="true" outlineLevel="0" collapsed="false">
      <c r="A5" s="2"/>
      <c r="B5" s="30" t="s">
        <v>634</v>
      </c>
      <c r="C5" s="30" t="s">
        <v>635</v>
      </c>
      <c r="D5" s="30" t="s">
        <v>568</v>
      </c>
      <c r="E5" s="30" t="s">
        <v>636</v>
      </c>
      <c r="F5" s="30" t="s">
        <v>637</v>
      </c>
      <c r="G5" s="30" t="s">
        <v>333</v>
      </c>
      <c r="H5" s="2"/>
      <c r="I5" s="2"/>
      <c r="J5" s="2"/>
      <c r="K5" s="2"/>
      <c r="L5" s="2"/>
      <c r="M5" s="2"/>
      <c r="N5" s="2"/>
    </row>
    <row r="6" customFormat="false" ht="49.5" hidden="false" customHeight="true" outlineLevel="0" collapsed="false">
      <c r="A6" s="2"/>
      <c r="B6" s="39" t="s">
        <v>638</v>
      </c>
      <c r="C6" s="32" t="n">
        <v>1</v>
      </c>
      <c r="D6" s="40" t="s">
        <v>639</v>
      </c>
      <c r="E6" s="102" t="s">
        <v>640</v>
      </c>
      <c r="F6" s="114" t="s">
        <v>641</v>
      </c>
      <c r="G6" s="90" t="n">
        <v>95000</v>
      </c>
      <c r="H6" s="2"/>
      <c r="I6" s="2"/>
      <c r="J6" s="2"/>
      <c r="K6" s="2"/>
      <c r="L6" s="2"/>
      <c r="M6" s="2"/>
      <c r="N6" s="2"/>
    </row>
    <row r="7" customFormat="false" ht="49.5" hidden="false" customHeight="true" outlineLevel="0" collapsed="false">
      <c r="A7" s="2"/>
      <c r="B7" s="39" t="s">
        <v>642</v>
      </c>
      <c r="C7" s="32" t="n">
        <v>1</v>
      </c>
      <c r="D7" s="40" t="s">
        <v>643</v>
      </c>
      <c r="E7" s="102" t="s">
        <v>644</v>
      </c>
      <c r="F7" s="114" t="s">
        <v>645</v>
      </c>
      <c r="G7" s="90" t="n">
        <v>65000</v>
      </c>
      <c r="H7" s="2"/>
      <c r="I7" s="2"/>
      <c r="J7" s="2"/>
      <c r="K7" s="2"/>
      <c r="L7" s="2"/>
      <c r="M7" s="2"/>
      <c r="N7" s="2"/>
    </row>
    <row r="8" customFormat="false" ht="49.5" hidden="false" customHeight="true" outlineLevel="0" collapsed="false">
      <c r="A8" s="2"/>
      <c r="B8" s="39" t="s">
        <v>646</v>
      </c>
      <c r="C8" s="32" t="n">
        <v>0.5</v>
      </c>
      <c r="D8" s="40" t="s">
        <v>647</v>
      </c>
      <c r="E8" s="102" t="s">
        <v>648</v>
      </c>
      <c r="F8" s="114" t="s">
        <v>649</v>
      </c>
      <c r="G8" s="90" t="n">
        <v>40000</v>
      </c>
      <c r="H8" s="2"/>
      <c r="I8" s="2"/>
      <c r="J8" s="2"/>
      <c r="K8" s="2"/>
      <c r="L8" s="2"/>
      <c r="M8" s="2"/>
      <c r="N8" s="2"/>
    </row>
    <row r="9" customFormat="false" ht="49.5" hidden="false" customHeight="true" outlineLevel="0" collapsed="false">
      <c r="A9" s="2"/>
      <c r="B9" s="39" t="s">
        <v>650</v>
      </c>
      <c r="C9" s="32" t="n">
        <v>0.5</v>
      </c>
      <c r="D9" s="40" t="s">
        <v>651</v>
      </c>
      <c r="E9" s="102" t="s">
        <v>652</v>
      </c>
      <c r="F9" s="114" t="s">
        <v>653</v>
      </c>
      <c r="G9" s="90" t="n">
        <v>42500</v>
      </c>
      <c r="H9" s="2"/>
      <c r="I9" s="2"/>
      <c r="J9" s="2"/>
      <c r="K9" s="2"/>
      <c r="L9" s="2"/>
      <c r="M9" s="2"/>
      <c r="N9" s="2"/>
    </row>
    <row r="10" customFormat="false" ht="49.5" hidden="false" customHeight="true" outlineLevel="0" collapsed="false">
      <c r="A10" s="2"/>
      <c r="B10" s="39" t="s">
        <v>654</v>
      </c>
      <c r="C10" s="32" t="n">
        <v>0.5</v>
      </c>
      <c r="D10" s="40" t="s">
        <v>655</v>
      </c>
      <c r="E10" s="102" t="s">
        <v>656</v>
      </c>
      <c r="F10" s="114" t="s">
        <v>657</v>
      </c>
      <c r="G10" s="90" t="n">
        <v>32500</v>
      </c>
      <c r="H10" s="2"/>
      <c r="I10" s="2"/>
      <c r="J10" s="2"/>
      <c r="K10" s="2"/>
      <c r="L10" s="2"/>
      <c r="M10" s="2"/>
      <c r="N10" s="2"/>
    </row>
    <row r="11" customFormat="false" ht="49.5" hidden="false" customHeight="true" outlineLevel="0" collapsed="false">
      <c r="A11" s="2"/>
      <c r="B11" s="39" t="s">
        <v>658</v>
      </c>
      <c r="C11" s="32" t="n">
        <v>0.5</v>
      </c>
      <c r="D11" s="40" t="s">
        <v>655</v>
      </c>
      <c r="E11" s="102" t="s">
        <v>659</v>
      </c>
      <c r="F11" s="114" t="s">
        <v>660</v>
      </c>
      <c r="G11" s="90" t="n">
        <v>30000</v>
      </c>
      <c r="H11" s="2"/>
      <c r="I11" s="2"/>
      <c r="J11" s="2"/>
      <c r="K11" s="2"/>
      <c r="L11" s="2"/>
      <c r="M11" s="2"/>
      <c r="N11" s="2"/>
    </row>
    <row r="12" customFormat="false" ht="29.25" hidden="false" customHeight="true" outlineLevel="0" collapsed="false">
      <c r="A12" s="2"/>
      <c r="B12" s="33" t="s">
        <v>661</v>
      </c>
      <c r="C12" s="119" t="n">
        <f aca="false">SUM(C6:C11)</f>
        <v>4</v>
      </c>
      <c r="D12" s="37"/>
      <c r="E12" s="37"/>
      <c r="F12" s="37"/>
      <c r="G12" s="120" t="n">
        <f aca="false">SUM(G6:G11)</f>
        <v>305000</v>
      </c>
      <c r="H12" s="2"/>
      <c r="I12" s="2"/>
      <c r="J12" s="2"/>
      <c r="K12" s="2"/>
      <c r="L12" s="2"/>
      <c r="M12" s="2"/>
      <c r="N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33.75" hidden="false" customHeight="true" outlineLevel="0" collapsed="false">
      <c r="A15" s="2"/>
      <c r="B15" s="22" t="s">
        <v>662</v>
      </c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</row>
    <row r="16" customFormat="false" ht="23.25" hidden="false" customHeight="true" outlineLevel="0" collapsed="false">
      <c r="A16" s="2"/>
      <c r="B16" s="30" t="s">
        <v>663</v>
      </c>
      <c r="C16" s="30" t="s">
        <v>664</v>
      </c>
      <c r="D16" s="30" t="s">
        <v>665</v>
      </c>
      <c r="E16" s="30" t="s">
        <v>666</v>
      </c>
      <c r="F16" s="30" t="s">
        <v>667</v>
      </c>
      <c r="G16" s="30" t="s">
        <v>668</v>
      </c>
      <c r="H16" s="2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4" t="s">
        <v>669</v>
      </c>
      <c r="C17" s="121" t="s">
        <v>670</v>
      </c>
      <c r="D17" s="121" t="s">
        <v>670</v>
      </c>
      <c r="E17" s="122" t="s">
        <v>671</v>
      </c>
      <c r="F17" s="123" t="s">
        <v>672</v>
      </c>
      <c r="G17" s="124" t="s">
        <v>439</v>
      </c>
      <c r="H17" s="2"/>
      <c r="I17" s="2"/>
      <c r="J17" s="2"/>
      <c r="K17" s="2"/>
      <c r="L17" s="2"/>
      <c r="M17" s="2"/>
      <c r="N17" s="2"/>
    </row>
    <row r="18" customFormat="false" ht="27.75" hidden="false" customHeight="true" outlineLevel="0" collapsed="false">
      <c r="A18" s="2"/>
      <c r="B18" s="24" t="s">
        <v>673</v>
      </c>
      <c r="C18" s="122" t="s">
        <v>671</v>
      </c>
      <c r="D18" s="123" t="s">
        <v>672</v>
      </c>
      <c r="E18" s="125" t="s">
        <v>674</v>
      </c>
      <c r="F18" s="121" t="s">
        <v>670</v>
      </c>
      <c r="G18" s="121" t="s">
        <v>670</v>
      </c>
      <c r="H18" s="2"/>
      <c r="I18" s="2"/>
      <c r="J18" s="2"/>
      <c r="K18" s="2"/>
      <c r="L18" s="2"/>
      <c r="M18" s="2"/>
      <c r="N18" s="2"/>
    </row>
    <row r="19" customFormat="false" ht="27.75" hidden="false" customHeight="true" outlineLevel="0" collapsed="false">
      <c r="A19" s="2"/>
      <c r="B19" s="24" t="s">
        <v>675</v>
      </c>
      <c r="C19" s="123" t="s">
        <v>672</v>
      </c>
      <c r="D19" s="125" t="s">
        <v>674</v>
      </c>
      <c r="E19" s="123" t="s">
        <v>672</v>
      </c>
      <c r="F19" s="121" t="s">
        <v>670</v>
      </c>
      <c r="G19" s="121" t="s">
        <v>670</v>
      </c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4" t="s">
        <v>676</v>
      </c>
      <c r="C20" s="123" t="s">
        <v>672</v>
      </c>
      <c r="D20" s="125" t="s">
        <v>674</v>
      </c>
      <c r="E20" s="123" t="s">
        <v>672</v>
      </c>
      <c r="F20" s="121" t="s">
        <v>670</v>
      </c>
      <c r="G20" s="122" t="s">
        <v>671</v>
      </c>
      <c r="H20" s="2"/>
      <c r="I20" s="2"/>
      <c r="J20" s="2"/>
      <c r="K20" s="2"/>
      <c r="L20" s="2"/>
      <c r="M20" s="2"/>
      <c r="N20" s="2"/>
    </row>
    <row r="21" customFormat="false" ht="27.75" hidden="false" customHeight="true" outlineLevel="0" collapsed="false">
      <c r="A21" s="2"/>
      <c r="B21" s="24" t="s">
        <v>677</v>
      </c>
      <c r="C21" s="122" t="s">
        <v>671</v>
      </c>
      <c r="D21" s="125" t="s">
        <v>674</v>
      </c>
      <c r="E21" s="123" t="s">
        <v>672</v>
      </c>
      <c r="F21" s="123" t="s">
        <v>672</v>
      </c>
      <c r="G21" s="121" t="s">
        <v>670</v>
      </c>
      <c r="H21" s="2"/>
      <c r="I21" s="2"/>
      <c r="J21" s="2"/>
      <c r="K21" s="2"/>
      <c r="L21" s="2"/>
      <c r="M21" s="2"/>
      <c r="N21" s="2"/>
    </row>
    <row r="22" customFormat="false" ht="27.75" hidden="false" customHeight="true" outlineLevel="0" collapsed="false">
      <c r="A22" s="2"/>
      <c r="B22" s="24" t="s">
        <v>678</v>
      </c>
      <c r="C22" s="122" t="s">
        <v>671</v>
      </c>
      <c r="D22" s="123" t="s">
        <v>672</v>
      </c>
      <c r="E22" s="125" t="s">
        <v>674</v>
      </c>
      <c r="F22" s="123" t="s">
        <v>672</v>
      </c>
      <c r="G22" s="121" t="s">
        <v>670</v>
      </c>
      <c r="H22" s="2"/>
      <c r="I22" s="2"/>
      <c r="J22" s="2"/>
      <c r="K22" s="2"/>
      <c r="L22" s="2"/>
      <c r="M22" s="2"/>
      <c r="N22" s="2"/>
    </row>
    <row r="23" customFormat="false" ht="27.75" hidden="false" customHeight="true" outlineLevel="0" collapsed="false">
      <c r="A23" s="2"/>
      <c r="B23" s="24" t="s">
        <v>679</v>
      </c>
      <c r="C23" s="125" t="s">
        <v>674</v>
      </c>
      <c r="D23" s="123" t="s">
        <v>672</v>
      </c>
      <c r="E23" s="125" t="s">
        <v>674</v>
      </c>
      <c r="F23" s="123" t="s">
        <v>672</v>
      </c>
      <c r="G23" s="121" t="s">
        <v>670</v>
      </c>
      <c r="H23" s="2"/>
      <c r="I23" s="2"/>
      <c r="J23" s="2"/>
      <c r="K23" s="2"/>
      <c r="L23" s="2"/>
      <c r="M23" s="2"/>
      <c r="N23" s="2"/>
    </row>
    <row r="24" customFormat="false" ht="27.75" hidden="false" customHeight="true" outlineLevel="0" collapsed="false">
      <c r="A24" s="2"/>
      <c r="B24" s="24" t="s">
        <v>680</v>
      </c>
      <c r="C24" s="122" t="s">
        <v>671</v>
      </c>
      <c r="D24" s="123" t="s">
        <v>672</v>
      </c>
      <c r="E24" s="121" t="s">
        <v>670</v>
      </c>
      <c r="F24" s="124" t="s">
        <v>439</v>
      </c>
      <c r="G24" s="121" t="s">
        <v>670</v>
      </c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4" t="s">
        <v>681</v>
      </c>
      <c r="C25" s="123" t="s">
        <v>672</v>
      </c>
      <c r="D25" s="123" t="s">
        <v>672</v>
      </c>
      <c r="E25" s="125" t="s">
        <v>674</v>
      </c>
      <c r="F25" s="124" t="s">
        <v>439</v>
      </c>
      <c r="G25" s="122" t="s">
        <v>671</v>
      </c>
      <c r="H25" s="2"/>
      <c r="I25" s="2"/>
      <c r="J25" s="2"/>
      <c r="K25" s="2"/>
      <c r="L25" s="2"/>
      <c r="M25" s="2"/>
      <c r="N25" s="2"/>
    </row>
    <row r="26" customFormat="false" ht="27.75" hidden="false" customHeight="true" outlineLevel="0" collapsed="false">
      <c r="A26" s="2"/>
      <c r="B26" s="24" t="s">
        <v>682</v>
      </c>
      <c r="C26" s="121" t="s">
        <v>670</v>
      </c>
      <c r="D26" s="123" t="s">
        <v>672</v>
      </c>
      <c r="E26" s="121" t="s">
        <v>670</v>
      </c>
      <c r="F26" s="124" t="s">
        <v>439</v>
      </c>
      <c r="G26" s="122" t="s">
        <v>671</v>
      </c>
      <c r="H26" s="2"/>
      <c r="I26" s="2"/>
      <c r="J26" s="2"/>
      <c r="K26" s="2"/>
      <c r="L26" s="2"/>
      <c r="M26" s="2"/>
      <c r="N26" s="2"/>
    </row>
    <row r="27" customFormat="false" ht="27.75" hidden="false" customHeight="true" outlineLevel="0" collapsed="false">
      <c r="A27" s="2"/>
      <c r="B27" s="24" t="s">
        <v>683</v>
      </c>
      <c r="C27" s="125" t="s">
        <v>674</v>
      </c>
      <c r="D27" s="121" t="s">
        <v>670</v>
      </c>
      <c r="E27" s="122" t="s">
        <v>671</v>
      </c>
      <c r="F27" s="123" t="s">
        <v>672</v>
      </c>
      <c r="G27" s="124" t="s">
        <v>439</v>
      </c>
      <c r="H27" s="2"/>
      <c r="I27" s="2"/>
      <c r="J27" s="2"/>
      <c r="K27" s="2"/>
      <c r="L27" s="2"/>
      <c r="M27" s="2"/>
      <c r="N27" s="2"/>
    </row>
    <row r="28" customFormat="false" ht="27.75" hidden="false" customHeight="true" outlineLevel="0" collapsed="false">
      <c r="A28" s="2"/>
      <c r="B28" s="24" t="s">
        <v>684</v>
      </c>
      <c r="C28" s="122" t="s">
        <v>671</v>
      </c>
      <c r="D28" s="125" t="s">
        <v>674</v>
      </c>
      <c r="E28" s="123" t="s">
        <v>672</v>
      </c>
      <c r="F28" s="123" t="s">
        <v>672</v>
      </c>
      <c r="G28" s="121" t="s">
        <v>670</v>
      </c>
      <c r="H28" s="2"/>
      <c r="I28" s="2"/>
      <c r="J28" s="2"/>
      <c r="K28" s="2"/>
      <c r="L28" s="2"/>
      <c r="M28" s="2"/>
      <c r="N28" s="2"/>
    </row>
    <row r="29" customFormat="false" ht="27.75" hidden="false" customHeight="true" outlineLevel="0" collapsed="false">
      <c r="A29" s="2"/>
      <c r="B29" s="24" t="s">
        <v>685</v>
      </c>
      <c r="C29" s="122" t="s">
        <v>671</v>
      </c>
      <c r="D29" s="123" t="s">
        <v>672</v>
      </c>
      <c r="E29" s="123" t="s">
        <v>672</v>
      </c>
      <c r="F29" s="123" t="s">
        <v>672</v>
      </c>
      <c r="G29" s="121" t="s">
        <v>670</v>
      </c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4" t="s">
        <v>686</v>
      </c>
      <c r="C30" s="123" t="s">
        <v>672</v>
      </c>
      <c r="D30" s="125" t="s">
        <v>674</v>
      </c>
      <c r="E30" s="123" t="s">
        <v>672</v>
      </c>
      <c r="F30" s="124" t="s">
        <v>439</v>
      </c>
      <c r="G30" s="122" t="s">
        <v>671</v>
      </c>
      <c r="H30" s="2"/>
      <c r="I30" s="2"/>
      <c r="J30" s="2"/>
      <c r="K30" s="2"/>
      <c r="L30" s="2"/>
      <c r="M30" s="2"/>
      <c r="N30" s="2"/>
    </row>
    <row r="31" customFormat="false" ht="27.75" hidden="false" customHeight="true" outlineLevel="0" collapsed="false">
      <c r="A31" s="2"/>
      <c r="B31" s="24" t="s">
        <v>687</v>
      </c>
      <c r="C31" s="123" t="s">
        <v>672</v>
      </c>
      <c r="D31" s="123" t="s">
        <v>672</v>
      </c>
      <c r="E31" s="125" t="s">
        <v>674</v>
      </c>
      <c r="F31" s="124" t="s">
        <v>439</v>
      </c>
      <c r="G31" s="122" t="s">
        <v>671</v>
      </c>
      <c r="H31" s="2"/>
      <c r="I31" s="2"/>
      <c r="J31" s="2"/>
      <c r="K31" s="2"/>
      <c r="L31" s="2"/>
      <c r="M31" s="2"/>
      <c r="N31" s="2"/>
    </row>
    <row r="32" customFormat="false" ht="27.75" hidden="false" customHeight="true" outlineLevel="0" collapsed="false">
      <c r="A32" s="2"/>
      <c r="B32" s="24" t="s">
        <v>688</v>
      </c>
      <c r="C32" s="122" t="s">
        <v>671</v>
      </c>
      <c r="D32" s="123" t="s">
        <v>672</v>
      </c>
      <c r="E32" s="123" t="s">
        <v>672</v>
      </c>
      <c r="F32" s="125" t="s">
        <v>674</v>
      </c>
      <c r="G32" s="121" t="s">
        <v>670</v>
      </c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34.5" hidden="false" customHeight="true" outlineLevel="0" collapsed="false">
      <c r="A34" s="2"/>
      <c r="B34" s="26" t="s">
        <v>689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</sheetData>
  <mergeCells count="1">
    <mergeCell ref="B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690</v>
      </c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true" outlineLevel="0" collapsed="false">
      <c r="A4" s="2"/>
      <c r="B4" s="30" t="s">
        <v>529</v>
      </c>
      <c r="C4" s="30" t="s">
        <v>385</v>
      </c>
      <c r="D4" s="30" t="s">
        <v>691</v>
      </c>
      <c r="E4" s="30" t="s">
        <v>692</v>
      </c>
      <c r="F4" s="30" t="s">
        <v>693</v>
      </c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true" outlineLevel="0" collapsed="false">
      <c r="A5" s="2"/>
      <c r="B5" s="23"/>
      <c r="C5" s="126" t="s">
        <v>694</v>
      </c>
      <c r="D5" s="23"/>
      <c r="E5" s="23"/>
      <c r="F5" s="23"/>
      <c r="G5" s="2"/>
      <c r="H5" s="2"/>
      <c r="I5" s="2"/>
      <c r="J5" s="2"/>
      <c r="K5" s="2"/>
      <c r="L5" s="2"/>
      <c r="M5" s="2"/>
      <c r="N5" s="2"/>
    </row>
    <row r="6" customFormat="false" ht="27.75" hidden="false" customHeight="true" outlineLevel="0" collapsed="false">
      <c r="A6" s="2"/>
      <c r="B6" s="77" t="n">
        <v>1</v>
      </c>
      <c r="C6" s="12"/>
      <c r="D6" s="127" t="s">
        <v>695</v>
      </c>
      <c r="E6" s="42"/>
      <c r="F6" s="27"/>
      <c r="G6" s="2"/>
      <c r="H6" s="2"/>
      <c r="I6" s="2"/>
      <c r="J6" s="2"/>
      <c r="K6" s="2"/>
      <c r="L6" s="2"/>
      <c r="M6" s="2"/>
      <c r="N6" s="2"/>
    </row>
    <row r="7" customFormat="false" ht="27.75" hidden="false" customHeight="true" outlineLevel="0" collapsed="false">
      <c r="A7" s="2"/>
      <c r="B7" s="77" t="n">
        <v>2</v>
      </c>
      <c r="C7" s="12"/>
      <c r="D7" s="127" t="s">
        <v>696</v>
      </c>
      <c r="E7" s="42"/>
      <c r="F7" s="27"/>
      <c r="G7" s="2"/>
      <c r="H7" s="2"/>
      <c r="I7" s="2"/>
      <c r="J7" s="2"/>
      <c r="K7" s="2"/>
      <c r="L7" s="2"/>
      <c r="M7" s="2"/>
      <c r="N7" s="2"/>
    </row>
    <row r="8" customFormat="false" ht="27.75" hidden="false" customHeight="true" outlineLevel="0" collapsed="false">
      <c r="A8" s="2"/>
      <c r="B8" s="77" t="n">
        <v>3</v>
      </c>
      <c r="C8" s="12"/>
      <c r="D8" s="127" t="s">
        <v>697</v>
      </c>
      <c r="E8" s="42"/>
      <c r="F8" s="27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true" outlineLevel="0" collapsed="false">
      <c r="A9" s="2"/>
      <c r="B9" s="77" t="n">
        <v>4</v>
      </c>
      <c r="C9" s="12"/>
      <c r="D9" s="127" t="s">
        <v>698</v>
      </c>
      <c r="E9" s="42"/>
      <c r="F9" s="27"/>
      <c r="G9" s="2"/>
      <c r="H9" s="2"/>
      <c r="I9" s="2"/>
      <c r="J9" s="2"/>
      <c r="K9" s="2"/>
      <c r="L9" s="2"/>
      <c r="M9" s="2"/>
      <c r="N9" s="2"/>
    </row>
    <row r="10" customFormat="false" ht="27.75" hidden="false" customHeight="true" outlineLevel="0" collapsed="false">
      <c r="A10" s="2"/>
      <c r="B10" s="77" t="n">
        <v>5</v>
      </c>
      <c r="C10" s="12"/>
      <c r="D10" s="127" t="s">
        <v>699</v>
      </c>
      <c r="E10" s="42"/>
      <c r="F10" s="27"/>
      <c r="G10" s="2"/>
      <c r="H10" s="2"/>
      <c r="I10" s="2"/>
      <c r="J10" s="2"/>
      <c r="K10" s="2"/>
      <c r="L10" s="2"/>
      <c r="M10" s="2"/>
      <c r="N10" s="2"/>
    </row>
    <row r="11" customFormat="false" ht="27.75" hidden="false" customHeight="true" outlineLevel="0" collapsed="false">
      <c r="A11" s="2"/>
      <c r="B11" s="77" t="n">
        <v>6</v>
      </c>
      <c r="C11" s="12"/>
      <c r="D11" s="127" t="s">
        <v>700</v>
      </c>
      <c r="E11" s="42"/>
      <c r="F11" s="27"/>
      <c r="G11" s="2"/>
      <c r="H11" s="2"/>
      <c r="I11" s="2"/>
      <c r="J11" s="2"/>
      <c r="K11" s="2"/>
      <c r="L11" s="2"/>
      <c r="M11" s="2"/>
      <c r="N11" s="2"/>
    </row>
    <row r="12" customFormat="false" ht="27.75" hidden="false" customHeight="true" outlineLevel="0" collapsed="false">
      <c r="A12" s="2"/>
      <c r="B12" s="23"/>
      <c r="C12" s="126" t="s">
        <v>701</v>
      </c>
      <c r="D12" s="23"/>
      <c r="E12" s="23"/>
      <c r="F12" s="23"/>
      <c r="G12" s="2"/>
      <c r="H12" s="2"/>
      <c r="I12" s="2"/>
      <c r="J12" s="2"/>
      <c r="K12" s="2"/>
      <c r="L12" s="2"/>
      <c r="M12" s="2"/>
      <c r="N12" s="2"/>
    </row>
    <row r="13" customFormat="false" ht="27.75" hidden="false" customHeight="true" outlineLevel="0" collapsed="false">
      <c r="A13" s="2"/>
      <c r="B13" s="77" t="n">
        <v>7</v>
      </c>
      <c r="C13" s="12"/>
      <c r="D13" s="127" t="s">
        <v>702</v>
      </c>
      <c r="E13" s="42"/>
      <c r="F13" s="27"/>
      <c r="G13" s="2"/>
      <c r="H13" s="2"/>
      <c r="I13" s="2"/>
      <c r="J13" s="2"/>
      <c r="K13" s="2"/>
      <c r="L13" s="2"/>
      <c r="M13" s="2"/>
      <c r="N13" s="2"/>
    </row>
    <row r="14" customFormat="false" ht="27.75" hidden="false" customHeight="true" outlineLevel="0" collapsed="false">
      <c r="A14" s="2"/>
      <c r="B14" s="77" t="n">
        <v>8</v>
      </c>
      <c r="C14" s="12"/>
      <c r="D14" s="127" t="s">
        <v>703</v>
      </c>
      <c r="E14" s="42"/>
      <c r="F14" s="27"/>
      <c r="G14" s="2"/>
      <c r="H14" s="2"/>
      <c r="I14" s="2"/>
      <c r="J14" s="2"/>
      <c r="K14" s="2"/>
      <c r="L14" s="2"/>
      <c r="M14" s="2"/>
      <c r="N14" s="2"/>
    </row>
    <row r="15" customFormat="false" ht="27.75" hidden="false" customHeight="true" outlineLevel="0" collapsed="false">
      <c r="A15" s="2"/>
      <c r="B15" s="77" t="n">
        <v>9</v>
      </c>
      <c r="C15" s="12"/>
      <c r="D15" s="127" t="s">
        <v>704</v>
      </c>
      <c r="E15" s="42"/>
      <c r="F15" s="27"/>
      <c r="G15" s="2"/>
      <c r="H15" s="2"/>
      <c r="I15" s="2"/>
      <c r="J15" s="2"/>
      <c r="K15" s="2"/>
      <c r="L15" s="2"/>
      <c r="M15" s="2"/>
      <c r="N15" s="2"/>
    </row>
    <row r="16" customFormat="false" ht="14.25" hidden="false" customHeight="true" outlineLevel="0" collapsed="false">
      <c r="A16" s="2"/>
      <c r="B16" s="77" t="n">
        <v>10</v>
      </c>
      <c r="C16" s="12"/>
      <c r="D16" s="127" t="s">
        <v>705</v>
      </c>
      <c r="E16" s="42"/>
      <c r="F16" s="27"/>
      <c r="G16" s="2"/>
      <c r="H16" s="2"/>
      <c r="I16" s="2"/>
      <c r="J16" s="2"/>
      <c r="K16" s="2"/>
      <c r="L16" s="2"/>
      <c r="M16" s="2"/>
      <c r="N16" s="2"/>
    </row>
    <row r="17" customFormat="false" ht="27.75" hidden="false" customHeight="true" outlineLevel="0" collapsed="false">
      <c r="A17" s="2"/>
      <c r="B17" s="77" t="n">
        <v>11</v>
      </c>
      <c r="C17" s="12"/>
      <c r="D17" s="127" t="s">
        <v>706</v>
      </c>
      <c r="E17" s="42"/>
      <c r="F17" s="27"/>
      <c r="G17" s="2"/>
      <c r="H17" s="2"/>
      <c r="I17" s="2"/>
      <c r="J17" s="2"/>
      <c r="K17" s="2"/>
      <c r="L17" s="2"/>
      <c r="M17" s="2"/>
      <c r="N17" s="2"/>
    </row>
    <row r="18" customFormat="false" ht="27.75" hidden="false" customHeight="true" outlineLevel="0" collapsed="false">
      <c r="A18" s="2"/>
      <c r="B18" s="77" t="n">
        <v>12</v>
      </c>
      <c r="C18" s="12"/>
      <c r="D18" s="127" t="s">
        <v>707</v>
      </c>
      <c r="E18" s="42"/>
      <c r="F18" s="27"/>
      <c r="G18" s="2"/>
      <c r="H18" s="2"/>
      <c r="I18" s="2"/>
      <c r="J18" s="2"/>
      <c r="K18" s="2"/>
      <c r="L18" s="2"/>
      <c r="M18" s="2"/>
      <c r="N18" s="2"/>
    </row>
    <row r="19" customFormat="false" ht="27.75" hidden="false" customHeight="true" outlineLevel="0" collapsed="false">
      <c r="A19" s="2"/>
      <c r="B19" s="77" t="n">
        <v>13</v>
      </c>
      <c r="C19" s="12"/>
      <c r="D19" s="127" t="s">
        <v>708</v>
      </c>
      <c r="E19" s="42"/>
      <c r="F19" s="27"/>
      <c r="G19" s="2"/>
      <c r="H19" s="2"/>
      <c r="I19" s="2"/>
      <c r="J19" s="2"/>
      <c r="K19" s="2"/>
      <c r="L19" s="2"/>
      <c r="M19" s="2"/>
      <c r="N19" s="2"/>
    </row>
    <row r="20" customFormat="false" ht="27.75" hidden="false" customHeight="true" outlineLevel="0" collapsed="false">
      <c r="A20" s="2"/>
      <c r="B20" s="77" t="n">
        <v>14</v>
      </c>
      <c r="C20" s="12"/>
      <c r="D20" s="127" t="s">
        <v>709</v>
      </c>
      <c r="E20" s="42"/>
      <c r="F20" s="27"/>
      <c r="G20" s="2"/>
      <c r="H20" s="2"/>
      <c r="I20" s="2"/>
      <c r="J20" s="2"/>
      <c r="K20" s="2"/>
      <c r="L20" s="2"/>
      <c r="M20" s="2"/>
      <c r="N20" s="2"/>
    </row>
    <row r="21" customFormat="false" ht="27.75" hidden="false" customHeight="true" outlineLevel="0" collapsed="false">
      <c r="A21" s="2"/>
      <c r="B21" s="23"/>
      <c r="C21" s="126" t="s">
        <v>710</v>
      </c>
      <c r="D21" s="23"/>
      <c r="E21" s="23"/>
      <c r="F21" s="23"/>
      <c r="G21" s="2"/>
      <c r="H21" s="2"/>
      <c r="I21" s="2"/>
      <c r="J21" s="2"/>
      <c r="K21" s="2"/>
      <c r="L21" s="2"/>
      <c r="M21" s="2"/>
      <c r="N21" s="2"/>
    </row>
    <row r="22" customFormat="false" ht="27.75" hidden="false" customHeight="true" outlineLevel="0" collapsed="false">
      <c r="A22" s="2"/>
      <c r="B22" s="77" t="n">
        <v>15</v>
      </c>
      <c r="C22" s="12"/>
      <c r="D22" s="127" t="s">
        <v>711</v>
      </c>
      <c r="E22" s="42"/>
      <c r="F22" s="27"/>
      <c r="G22" s="2"/>
      <c r="H22" s="2"/>
      <c r="I22" s="2"/>
      <c r="J22" s="2"/>
      <c r="K22" s="2"/>
      <c r="L22" s="2"/>
      <c r="M22" s="2"/>
      <c r="N22" s="2"/>
    </row>
    <row r="23" customFormat="false" ht="27.75" hidden="false" customHeight="true" outlineLevel="0" collapsed="false">
      <c r="A23" s="2"/>
      <c r="B23" s="77" t="n">
        <v>16</v>
      </c>
      <c r="C23" s="12"/>
      <c r="D23" s="127" t="s">
        <v>712</v>
      </c>
      <c r="E23" s="42"/>
      <c r="F23" s="27"/>
      <c r="G23" s="2"/>
      <c r="H23" s="2"/>
      <c r="I23" s="2"/>
      <c r="J23" s="2"/>
      <c r="K23" s="2"/>
      <c r="L23" s="2"/>
      <c r="M23" s="2"/>
      <c r="N23" s="2"/>
    </row>
    <row r="24" customFormat="false" ht="27.75" hidden="false" customHeight="true" outlineLevel="0" collapsed="false">
      <c r="A24" s="2"/>
      <c r="B24" s="77" t="n">
        <v>17</v>
      </c>
      <c r="C24" s="12"/>
      <c r="D24" s="127" t="s">
        <v>713</v>
      </c>
      <c r="E24" s="42"/>
      <c r="F24" s="27"/>
      <c r="G24" s="2"/>
      <c r="H24" s="2"/>
      <c r="I24" s="2"/>
      <c r="J24" s="2"/>
      <c r="K24" s="2"/>
      <c r="L24" s="2"/>
      <c r="M24" s="2"/>
      <c r="N24" s="2"/>
    </row>
    <row r="25" customFormat="false" ht="27.75" hidden="false" customHeight="true" outlineLevel="0" collapsed="false">
      <c r="A25" s="2"/>
      <c r="B25" s="77" t="n">
        <v>18</v>
      </c>
      <c r="C25" s="12"/>
      <c r="D25" s="127" t="s">
        <v>714</v>
      </c>
      <c r="E25" s="42"/>
      <c r="F25" s="27"/>
      <c r="G25" s="2"/>
      <c r="H25" s="2"/>
      <c r="I25" s="2"/>
      <c r="J25" s="2"/>
      <c r="K25" s="2"/>
      <c r="L25" s="2"/>
      <c r="M25" s="2"/>
      <c r="N25" s="2"/>
    </row>
    <row r="26" customFormat="false" ht="27.75" hidden="false" customHeight="true" outlineLevel="0" collapsed="false">
      <c r="A26" s="2"/>
      <c r="B26" s="77" t="n">
        <v>19</v>
      </c>
      <c r="C26" s="12"/>
      <c r="D26" s="127" t="s">
        <v>715</v>
      </c>
      <c r="E26" s="42"/>
      <c r="F26" s="27"/>
      <c r="G26" s="2"/>
      <c r="H26" s="2"/>
      <c r="I26" s="2"/>
      <c r="J26" s="2"/>
      <c r="K26" s="2"/>
      <c r="L26" s="2"/>
      <c r="M26" s="2"/>
      <c r="N26" s="2"/>
    </row>
    <row r="27" customFormat="false" ht="27.75" hidden="false" customHeight="true" outlineLevel="0" collapsed="false">
      <c r="A27" s="2"/>
      <c r="B27" s="77" t="n">
        <v>20</v>
      </c>
      <c r="C27" s="12"/>
      <c r="D27" s="127" t="s">
        <v>716</v>
      </c>
      <c r="E27" s="42"/>
      <c r="F27" s="27"/>
      <c r="G27" s="2"/>
      <c r="H27" s="2"/>
      <c r="I27" s="2"/>
      <c r="J27" s="2"/>
      <c r="K27" s="2"/>
      <c r="L27" s="2"/>
      <c r="M27" s="2"/>
      <c r="N27" s="2"/>
    </row>
    <row r="28" customFormat="false" ht="27.75" hidden="false" customHeight="true" outlineLevel="0" collapsed="false">
      <c r="A28" s="2"/>
      <c r="B28" s="23"/>
      <c r="C28" s="126" t="s">
        <v>717</v>
      </c>
      <c r="D28" s="23"/>
      <c r="E28" s="23"/>
      <c r="F28" s="23"/>
      <c r="G28" s="2"/>
      <c r="H28" s="2"/>
      <c r="I28" s="2"/>
      <c r="J28" s="2"/>
      <c r="K28" s="2"/>
      <c r="L28" s="2"/>
      <c r="M28" s="2"/>
      <c r="N28" s="2"/>
    </row>
    <row r="29" customFormat="false" ht="27.75" hidden="false" customHeight="true" outlineLevel="0" collapsed="false">
      <c r="A29" s="2"/>
      <c r="B29" s="77" t="n">
        <v>21</v>
      </c>
      <c r="C29" s="12"/>
      <c r="D29" s="127" t="s">
        <v>718</v>
      </c>
      <c r="E29" s="42"/>
      <c r="F29" s="27"/>
      <c r="G29" s="2"/>
      <c r="H29" s="2"/>
      <c r="I29" s="2"/>
      <c r="J29" s="2"/>
      <c r="K29" s="2"/>
      <c r="L29" s="2"/>
      <c r="M29" s="2"/>
      <c r="N29" s="2"/>
    </row>
    <row r="30" customFormat="false" ht="27.75" hidden="false" customHeight="true" outlineLevel="0" collapsed="false">
      <c r="A30" s="2"/>
      <c r="B30" s="77" t="n">
        <v>22</v>
      </c>
      <c r="C30" s="12"/>
      <c r="D30" s="127" t="s">
        <v>719</v>
      </c>
      <c r="E30" s="42"/>
      <c r="F30" s="27"/>
      <c r="G30" s="2"/>
      <c r="H30" s="2"/>
      <c r="I30" s="2"/>
      <c r="J30" s="2"/>
      <c r="K30" s="2"/>
      <c r="L30" s="2"/>
      <c r="M30" s="2"/>
      <c r="N30" s="2"/>
    </row>
    <row r="31" customFormat="false" ht="27.75" hidden="false" customHeight="true" outlineLevel="0" collapsed="false">
      <c r="A31" s="2"/>
      <c r="B31" s="77" t="n">
        <v>23</v>
      </c>
      <c r="C31" s="12"/>
      <c r="D31" s="127" t="s">
        <v>720</v>
      </c>
      <c r="E31" s="42"/>
      <c r="F31" s="27"/>
      <c r="G31" s="2"/>
      <c r="H31" s="2"/>
      <c r="I31" s="2"/>
      <c r="J31" s="2"/>
      <c r="K31" s="2"/>
      <c r="L31" s="2"/>
      <c r="M31" s="2"/>
      <c r="N31" s="2"/>
    </row>
    <row r="32" customFormat="false" ht="27.75" hidden="false" customHeight="true" outlineLevel="0" collapsed="false">
      <c r="A32" s="2"/>
      <c r="B32" s="77" t="n">
        <v>24</v>
      </c>
      <c r="C32" s="12"/>
      <c r="D32" s="127" t="s">
        <v>721</v>
      </c>
      <c r="E32" s="42"/>
      <c r="F32" s="27"/>
      <c r="G32" s="2"/>
      <c r="H32" s="2"/>
      <c r="I32" s="2"/>
      <c r="J32" s="2"/>
      <c r="K32" s="2"/>
      <c r="L32" s="2"/>
      <c r="M32" s="2"/>
      <c r="N32" s="2"/>
    </row>
    <row r="33" customFormat="false" ht="27.75" hidden="false" customHeight="true" outlineLevel="0" collapsed="false">
      <c r="A33" s="2"/>
      <c r="B33" s="77" t="n">
        <v>25</v>
      </c>
      <c r="C33" s="12"/>
      <c r="D33" s="127" t="s">
        <v>722</v>
      </c>
      <c r="E33" s="42"/>
      <c r="F33" s="27"/>
      <c r="G33" s="2"/>
      <c r="H33" s="2"/>
      <c r="I33" s="2"/>
      <c r="J33" s="2"/>
      <c r="K33" s="2"/>
      <c r="L33" s="2"/>
      <c r="M33" s="2"/>
      <c r="N33" s="2"/>
    </row>
    <row r="34" customFormat="false" ht="27.75" hidden="false" customHeight="true" outlineLevel="0" collapsed="false">
      <c r="A34" s="2"/>
      <c r="B34" s="23"/>
      <c r="C34" s="126" t="s">
        <v>723</v>
      </c>
      <c r="D34" s="23"/>
      <c r="E34" s="23"/>
      <c r="F34" s="23"/>
      <c r="G34" s="2"/>
      <c r="H34" s="2"/>
      <c r="I34" s="2"/>
      <c r="J34" s="2"/>
      <c r="K34" s="2"/>
      <c r="L34" s="2"/>
      <c r="M34" s="2"/>
      <c r="N34" s="2"/>
    </row>
    <row r="35" customFormat="false" ht="27.75" hidden="false" customHeight="true" outlineLevel="0" collapsed="false">
      <c r="A35" s="2"/>
      <c r="B35" s="77" t="n">
        <v>26</v>
      </c>
      <c r="C35" s="12"/>
      <c r="D35" s="127" t="s">
        <v>724</v>
      </c>
      <c r="E35" s="42"/>
      <c r="F35" s="27"/>
      <c r="G35" s="2"/>
      <c r="H35" s="2"/>
      <c r="I35" s="2"/>
      <c r="J35" s="2"/>
      <c r="K35" s="2"/>
      <c r="L35" s="2"/>
      <c r="M35" s="2"/>
      <c r="N35" s="2"/>
    </row>
    <row r="36" customFormat="false" ht="27.75" hidden="false" customHeight="true" outlineLevel="0" collapsed="false">
      <c r="A36" s="2"/>
      <c r="B36" s="77" t="n">
        <v>27</v>
      </c>
      <c r="C36" s="12"/>
      <c r="D36" s="127" t="s">
        <v>725</v>
      </c>
      <c r="E36" s="42"/>
      <c r="F36" s="27"/>
      <c r="G36" s="2"/>
      <c r="H36" s="2"/>
      <c r="I36" s="2"/>
      <c r="J36" s="2"/>
      <c r="K36" s="2"/>
      <c r="L36" s="2"/>
      <c r="M36" s="2"/>
      <c r="N36" s="2"/>
    </row>
    <row r="37" customFormat="false" ht="27.75" hidden="false" customHeight="true" outlineLevel="0" collapsed="false">
      <c r="A37" s="2"/>
      <c r="B37" s="77" t="n">
        <v>28</v>
      </c>
      <c r="C37" s="12"/>
      <c r="D37" s="127" t="s">
        <v>726</v>
      </c>
      <c r="E37" s="42"/>
      <c r="F37" s="27"/>
      <c r="G37" s="2"/>
      <c r="H37" s="2"/>
      <c r="I37" s="2"/>
      <c r="J37" s="2"/>
      <c r="K37" s="2"/>
      <c r="L37" s="2"/>
      <c r="M37" s="2"/>
      <c r="N37" s="2"/>
    </row>
    <row r="38" customFormat="false" ht="27.75" hidden="false" customHeight="true" outlineLevel="0" collapsed="false">
      <c r="A38" s="2"/>
      <c r="B38" s="77" t="n">
        <v>29</v>
      </c>
      <c r="C38" s="12"/>
      <c r="D38" s="127" t="s">
        <v>727</v>
      </c>
      <c r="E38" s="42"/>
      <c r="F38" s="27"/>
      <c r="G38" s="2"/>
      <c r="H38" s="2"/>
      <c r="I38" s="2"/>
      <c r="J38" s="2"/>
      <c r="K38" s="2"/>
      <c r="L38" s="2"/>
      <c r="M38" s="2"/>
      <c r="N38" s="2"/>
    </row>
    <row r="39" customFormat="false" ht="27.75" hidden="false" customHeight="true" outlineLevel="0" collapsed="false">
      <c r="A39" s="2"/>
      <c r="B39" s="77" t="n">
        <v>30</v>
      </c>
      <c r="C39" s="12"/>
      <c r="D39" s="127" t="s">
        <v>728</v>
      </c>
      <c r="E39" s="42"/>
      <c r="F39" s="27"/>
      <c r="G39" s="2"/>
      <c r="H39" s="2"/>
      <c r="I39" s="2"/>
      <c r="J39" s="2"/>
      <c r="K39" s="2"/>
      <c r="L39" s="2"/>
      <c r="M39" s="2"/>
      <c r="N39" s="2"/>
    </row>
    <row r="40" customFormat="false" ht="27.75" hidden="false" customHeight="true" outlineLevel="0" collapsed="false">
      <c r="A40" s="2"/>
      <c r="B40" s="77" t="n">
        <v>31</v>
      </c>
      <c r="C40" s="12"/>
      <c r="D40" s="127" t="s">
        <v>729</v>
      </c>
      <c r="E40" s="42"/>
      <c r="F40" s="27"/>
      <c r="G40" s="2"/>
      <c r="H40" s="2"/>
      <c r="I40" s="2"/>
      <c r="J40" s="2"/>
      <c r="K40" s="2"/>
      <c r="L40" s="2"/>
      <c r="M40" s="2"/>
      <c r="N40" s="2"/>
    </row>
    <row r="41" customFormat="false" ht="27.75" hidden="false" customHeight="true" outlineLevel="0" collapsed="false">
      <c r="A41" s="2"/>
      <c r="B41" s="23"/>
      <c r="C41" s="126" t="s">
        <v>730</v>
      </c>
      <c r="D41" s="23"/>
      <c r="E41" s="23"/>
      <c r="F41" s="23"/>
      <c r="G41" s="2"/>
      <c r="H41" s="2"/>
      <c r="I41" s="2"/>
      <c r="J41" s="2"/>
      <c r="K41" s="2"/>
      <c r="L41" s="2"/>
      <c r="M41" s="2"/>
      <c r="N41" s="2"/>
    </row>
    <row r="42" customFormat="false" ht="27.75" hidden="false" customHeight="true" outlineLevel="0" collapsed="false">
      <c r="A42" s="2"/>
      <c r="B42" s="77" t="n">
        <v>32</v>
      </c>
      <c r="C42" s="12"/>
      <c r="D42" s="127" t="s">
        <v>731</v>
      </c>
      <c r="E42" s="42"/>
      <c r="F42" s="27"/>
      <c r="G42" s="2"/>
      <c r="H42" s="2"/>
      <c r="I42" s="2"/>
      <c r="J42" s="2"/>
      <c r="K42" s="2"/>
      <c r="L42" s="2"/>
      <c r="M42" s="2"/>
      <c r="N42" s="2"/>
    </row>
    <row r="43" customFormat="false" ht="27.75" hidden="false" customHeight="true" outlineLevel="0" collapsed="false">
      <c r="A43" s="2"/>
      <c r="B43" s="77" t="n">
        <v>33</v>
      </c>
      <c r="C43" s="12"/>
      <c r="D43" s="127" t="s">
        <v>732</v>
      </c>
      <c r="E43" s="42"/>
      <c r="F43" s="27"/>
      <c r="G43" s="2"/>
      <c r="H43" s="2"/>
      <c r="I43" s="2"/>
      <c r="J43" s="2"/>
      <c r="K43" s="2"/>
      <c r="L43" s="2"/>
      <c r="M43" s="2"/>
      <c r="N43" s="2"/>
    </row>
    <row r="44" customFormat="false" ht="27.75" hidden="false" customHeight="true" outlineLevel="0" collapsed="false">
      <c r="A44" s="2"/>
      <c r="B44" s="77" t="n">
        <v>34</v>
      </c>
      <c r="C44" s="12"/>
      <c r="D44" s="127" t="s">
        <v>733</v>
      </c>
      <c r="E44" s="42"/>
      <c r="F44" s="27"/>
      <c r="G44" s="2"/>
      <c r="H44" s="2"/>
      <c r="I44" s="2"/>
      <c r="J44" s="2"/>
      <c r="K44" s="2"/>
      <c r="L44" s="2"/>
      <c r="M44" s="2"/>
      <c r="N44" s="2"/>
    </row>
    <row r="45" customFormat="false" ht="27.75" hidden="false" customHeight="true" outlineLevel="0" collapsed="false">
      <c r="A45" s="2"/>
      <c r="B45" s="77" t="n">
        <v>35</v>
      </c>
      <c r="C45" s="12"/>
      <c r="D45" s="127" t="s">
        <v>734</v>
      </c>
      <c r="E45" s="42"/>
      <c r="F45" s="27"/>
      <c r="G45" s="2"/>
      <c r="H45" s="2"/>
      <c r="I45" s="2"/>
      <c r="J45" s="2"/>
      <c r="K45" s="2"/>
      <c r="L45" s="2"/>
      <c r="M45" s="2"/>
      <c r="N45" s="2"/>
    </row>
    <row r="46" customFormat="false" ht="27.75" hidden="false" customHeight="true" outlineLevel="0" collapsed="false">
      <c r="A46" s="2"/>
      <c r="B46" s="77" t="n">
        <v>36</v>
      </c>
      <c r="C46" s="12"/>
      <c r="D46" s="127" t="s">
        <v>735</v>
      </c>
      <c r="E46" s="42"/>
      <c r="F46" s="27"/>
      <c r="G46" s="2"/>
      <c r="H46" s="2"/>
      <c r="I46" s="2"/>
      <c r="J46" s="2"/>
      <c r="K46" s="2"/>
      <c r="L46" s="2"/>
      <c r="M46" s="2"/>
      <c r="N46" s="2"/>
    </row>
    <row r="47" customFormat="false" ht="27.75" hidden="false" customHeight="true" outlineLevel="0" collapsed="false">
      <c r="A47" s="2"/>
      <c r="B47" s="77" t="n">
        <v>37</v>
      </c>
      <c r="C47" s="12"/>
      <c r="D47" s="127" t="s">
        <v>736</v>
      </c>
      <c r="E47" s="42"/>
      <c r="F47" s="27"/>
      <c r="G47" s="2"/>
      <c r="H47" s="2"/>
      <c r="I47" s="2"/>
      <c r="J47" s="2"/>
      <c r="K47" s="2"/>
      <c r="L47" s="2"/>
      <c r="M47" s="2"/>
      <c r="N47" s="2"/>
    </row>
    <row r="48" customFormat="false" ht="27.75" hidden="false" customHeight="true" outlineLevel="0" collapsed="false">
      <c r="A48" s="2"/>
      <c r="B48" s="23"/>
      <c r="C48" s="126" t="s">
        <v>737</v>
      </c>
      <c r="D48" s="23"/>
      <c r="E48" s="23"/>
      <c r="F48" s="23"/>
      <c r="G48" s="2"/>
      <c r="H48" s="2"/>
      <c r="I48" s="2"/>
      <c r="J48" s="2"/>
      <c r="K48" s="2"/>
      <c r="L48" s="2"/>
      <c r="M48" s="2"/>
      <c r="N48" s="2"/>
    </row>
    <row r="49" customFormat="false" ht="27.75" hidden="false" customHeight="true" outlineLevel="0" collapsed="false">
      <c r="A49" s="2"/>
      <c r="B49" s="77" t="n">
        <v>38</v>
      </c>
      <c r="C49" s="12"/>
      <c r="D49" s="127" t="s">
        <v>738</v>
      </c>
      <c r="E49" s="42"/>
      <c r="F49" s="27"/>
      <c r="G49" s="2"/>
      <c r="H49" s="2"/>
      <c r="I49" s="2"/>
      <c r="J49" s="2"/>
      <c r="K49" s="2"/>
      <c r="L49" s="2"/>
      <c r="M49" s="2"/>
      <c r="N49" s="2"/>
    </row>
    <row r="50" customFormat="false" ht="27.75" hidden="false" customHeight="true" outlineLevel="0" collapsed="false">
      <c r="A50" s="2"/>
      <c r="B50" s="77" t="n">
        <v>39</v>
      </c>
      <c r="C50" s="12"/>
      <c r="D50" s="127" t="s">
        <v>739</v>
      </c>
      <c r="E50" s="42"/>
      <c r="F50" s="27"/>
      <c r="G50" s="2"/>
      <c r="H50" s="2"/>
      <c r="I50" s="2"/>
      <c r="J50" s="2"/>
      <c r="K50" s="2"/>
      <c r="L50" s="2"/>
      <c r="M50" s="2"/>
      <c r="N50" s="2"/>
    </row>
    <row r="51" customFormat="false" ht="27.75" hidden="false" customHeight="true" outlineLevel="0" collapsed="false">
      <c r="A51" s="2"/>
      <c r="B51" s="77" t="n">
        <v>40</v>
      </c>
      <c r="C51" s="12"/>
      <c r="D51" s="127" t="s">
        <v>740</v>
      </c>
      <c r="E51" s="42"/>
      <c r="F51" s="27"/>
      <c r="G51" s="2"/>
      <c r="H51" s="2"/>
      <c r="I51" s="2"/>
      <c r="J51" s="2"/>
      <c r="K51" s="2"/>
      <c r="L51" s="2"/>
      <c r="M51" s="2"/>
      <c r="N51" s="2"/>
    </row>
    <row r="52" customFormat="false" ht="27.75" hidden="false" customHeight="true" outlineLevel="0" collapsed="false">
      <c r="A52" s="2"/>
      <c r="B52" s="77" t="n">
        <v>41</v>
      </c>
      <c r="C52" s="12"/>
      <c r="D52" s="127" t="s">
        <v>741</v>
      </c>
      <c r="E52" s="42"/>
      <c r="F52" s="27"/>
      <c r="G52" s="2"/>
      <c r="H52" s="2"/>
      <c r="I52" s="2"/>
      <c r="J52" s="2"/>
      <c r="K52" s="2"/>
      <c r="L52" s="2"/>
      <c r="M52" s="2"/>
      <c r="N52" s="2"/>
    </row>
    <row r="53" customFormat="false" ht="27.75" hidden="false" customHeight="true" outlineLevel="0" collapsed="false">
      <c r="A53" s="2"/>
      <c r="B53" s="77" t="n">
        <v>42</v>
      </c>
      <c r="C53" s="12"/>
      <c r="D53" s="127" t="s">
        <v>742</v>
      </c>
      <c r="E53" s="42"/>
      <c r="F53" s="27"/>
      <c r="G53" s="2"/>
      <c r="H53" s="2"/>
      <c r="I53" s="2"/>
      <c r="J53" s="2"/>
      <c r="K53" s="2"/>
      <c r="L53" s="2"/>
      <c r="M53" s="2"/>
      <c r="N53" s="2"/>
    </row>
    <row r="54" customFormat="false" ht="27.75" hidden="false" customHeight="true" outlineLevel="0" collapsed="false">
      <c r="A54" s="2"/>
      <c r="B54" s="77" t="n">
        <v>43</v>
      </c>
      <c r="C54" s="12"/>
      <c r="D54" s="127" t="s">
        <v>743</v>
      </c>
      <c r="E54" s="42"/>
      <c r="F54" s="27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3"/>
      <c r="C55" s="126" t="s">
        <v>744</v>
      </c>
      <c r="D55" s="23"/>
      <c r="E55" s="23"/>
      <c r="F55" s="23"/>
      <c r="G55" s="2"/>
      <c r="H55" s="2"/>
      <c r="I55" s="2"/>
      <c r="J55" s="2"/>
      <c r="K55" s="2"/>
      <c r="L55" s="2"/>
      <c r="M55" s="2"/>
      <c r="N55" s="2"/>
    </row>
    <row r="56" customFormat="false" ht="27.75" hidden="false" customHeight="true" outlineLevel="0" collapsed="false">
      <c r="A56" s="2"/>
      <c r="B56" s="77" t="n">
        <v>44</v>
      </c>
      <c r="C56" s="12"/>
      <c r="D56" s="127" t="s">
        <v>745</v>
      </c>
      <c r="E56" s="42"/>
      <c r="F56" s="27"/>
      <c r="G56" s="2"/>
      <c r="H56" s="2"/>
      <c r="I56" s="2"/>
      <c r="J56" s="2"/>
      <c r="K56" s="2"/>
      <c r="L56" s="2"/>
      <c r="M56" s="2"/>
      <c r="N56" s="2"/>
    </row>
    <row r="57" customFormat="false" ht="27.75" hidden="false" customHeight="true" outlineLevel="0" collapsed="false">
      <c r="A57" s="2"/>
      <c r="B57" s="77" t="n">
        <v>45</v>
      </c>
      <c r="C57" s="12"/>
      <c r="D57" s="127" t="s">
        <v>746</v>
      </c>
      <c r="E57" s="42"/>
      <c r="F57" s="27"/>
      <c r="G57" s="2"/>
      <c r="H57" s="2"/>
      <c r="I57" s="2"/>
      <c r="J57" s="2"/>
      <c r="K57" s="2"/>
      <c r="L57" s="2"/>
      <c r="M57" s="2"/>
      <c r="N57" s="2"/>
    </row>
    <row r="58" customFormat="false" ht="27.75" hidden="false" customHeight="true" outlineLevel="0" collapsed="false">
      <c r="A58" s="2"/>
      <c r="B58" s="77" t="n">
        <v>46</v>
      </c>
      <c r="C58" s="12"/>
      <c r="D58" s="127" t="s">
        <v>747</v>
      </c>
      <c r="E58" s="42"/>
      <c r="F58" s="27"/>
      <c r="G58" s="2"/>
      <c r="H58" s="2"/>
      <c r="I58" s="2"/>
      <c r="J58" s="2"/>
      <c r="K58" s="2"/>
      <c r="L58" s="2"/>
      <c r="M58" s="2"/>
      <c r="N58" s="2"/>
    </row>
    <row r="59" customFormat="false" ht="27.75" hidden="false" customHeight="true" outlineLevel="0" collapsed="false">
      <c r="A59" s="2"/>
      <c r="B59" s="77" t="n">
        <v>47</v>
      </c>
      <c r="C59" s="12"/>
      <c r="D59" s="127" t="s">
        <v>748</v>
      </c>
      <c r="E59" s="42"/>
      <c r="F59" s="27"/>
      <c r="G59" s="2"/>
      <c r="H59" s="2"/>
      <c r="I59" s="2"/>
      <c r="J59" s="2"/>
      <c r="K59" s="2"/>
      <c r="L59" s="2"/>
      <c r="M59" s="2"/>
      <c r="N59" s="2"/>
    </row>
    <row r="60" customFormat="false" ht="27.75" hidden="false" customHeight="true" outlineLevel="0" collapsed="false">
      <c r="A60" s="2"/>
      <c r="B60" s="77" t="n">
        <v>48</v>
      </c>
      <c r="C60" s="12"/>
      <c r="D60" s="127" t="s">
        <v>749</v>
      </c>
      <c r="E60" s="42"/>
      <c r="F60" s="27"/>
      <c r="G60" s="2"/>
      <c r="H60" s="2"/>
      <c r="I60" s="2"/>
      <c r="J60" s="2"/>
      <c r="K60" s="2"/>
      <c r="L60" s="2"/>
      <c r="M60" s="2"/>
      <c r="N60" s="2"/>
    </row>
    <row r="61" customFormat="false" ht="27.75" hidden="false" customHeight="true" outlineLevel="0" collapsed="false">
      <c r="A61" s="2"/>
      <c r="B61" s="77" t="n">
        <v>49</v>
      </c>
      <c r="C61" s="12"/>
      <c r="D61" s="127" t="s">
        <v>750</v>
      </c>
      <c r="E61" s="42"/>
      <c r="F61" s="27"/>
      <c r="G61" s="2"/>
      <c r="H61" s="2"/>
      <c r="I61" s="2"/>
      <c r="J61" s="2"/>
      <c r="K61" s="2"/>
      <c r="L61" s="2"/>
      <c r="M61" s="2"/>
      <c r="N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true" outlineLevel="0" collapsed="false">
      <c r="A63" s="2"/>
      <c r="B63" s="2"/>
      <c r="C63" s="33" t="s">
        <v>751</v>
      </c>
      <c r="D63" s="128" t="n">
        <f aca="false">COUNTIF(E5:E61,"Done")</f>
        <v>0</v>
      </c>
      <c r="E63" s="129" t="n">
        <f aca="false">COUNTA(D5:D61)</f>
        <v>49</v>
      </c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mergeCells count="1">
    <mergeCell ref="B2:F2"/>
  </mergeCells>
  <dataValidations count="1">
    <dataValidation allowBlank="true" errorStyle="stop" operator="between" showDropDown="false" showErrorMessage="false" showInputMessage="false" sqref="E6:E11 E13:E20 E22:E27 E29:E33 E35:E40 E42:E47 E49:E54 E56:E59" type="list">
      <formula1>Dropdowns!$F$3:$F$6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2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752</v>
      </c>
      <c r="C2" s="16"/>
      <c r="D2" s="16"/>
      <c r="E2" s="16"/>
      <c r="F2" s="16"/>
      <c r="G2" s="16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3.25" hidden="false" customHeight="true" outlineLevel="0" collapsed="false">
      <c r="A4" s="2"/>
      <c r="B4" s="30" t="s">
        <v>753</v>
      </c>
      <c r="C4" s="30" t="s">
        <v>754</v>
      </c>
      <c r="D4" s="30" t="s">
        <v>755</v>
      </c>
      <c r="E4" s="30" t="s">
        <v>756</v>
      </c>
      <c r="F4" s="30" t="s">
        <v>757</v>
      </c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true" outlineLevel="0" collapsed="false">
      <c r="A5" s="2"/>
      <c r="B5" s="24" t="s">
        <v>758</v>
      </c>
      <c r="C5" s="118" t="s">
        <v>759</v>
      </c>
      <c r="D5" s="116" t="s">
        <v>760</v>
      </c>
      <c r="E5" s="113" t="s">
        <v>761</v>
      </c>
      <c r="F5" s="130" t="s">
        <v>762</v>
      </c>
      <c r="G5" s="2"/>
      <c r="H5" s="2"/>
      <c r="I5" s="2"/>
      <c r="J5" s="2"/>
      <c r="K5" s="2"/>
      <c r="L5" s="2"/>
      <c r="M5" s="2"/>
      <c r="N5" s="2"/>
    </row>
    <row r="6" customFormat="false" ht="27.75" hidden="false" customHeight="true" outlineLevel="0" collapsed="false">
      <c r="A6" s="2"/>
      <c r="B6" s="24" t="s">
        <v>763</v>
      </c>
      <c r="C6" s="118" t="s">
        <v>764</v>
      </c>
      <c r="D6" s="116" t="s">
        <v>765</v>
      </c>
      <c r="E6" s="113" t="s">
        <v>766</v>
      </c>
      <c r="F6" s="130" t="s">
        <v>767</v>
      </c>
      <c r="G6" s="2"/>
      <c r="H6" s="2"/>
      <c r="I6" s="2"/>
      <c r="J6" s="2"/>
      <c r="K6" s="2"/>
      <c r="L6" s="2"/>
      <c r="M6" s="2"/>
      <c r="N6" s="2"/>
    </row>
    <row r="7" customFormat="false" ht="27.75" hidden="false" customHeight="true" outlineLevel="0" collapsed="false">
      <c r="A7" s="2"/>
      <c r="B7" s="24" t="s">
        <v>768</v>
      </c>
      <c r="C7" s="118" t="s">
        <v>769</v>
      </c>
      <c r="D7" s="116" t="s">
        <v>770</v>
      </c>
      <c r="E7" s="113" t="s">
        <v>771</v>
      </c>
      <c r="F7" s="130" t="s">
        <v>772</v>
      </c>
      <c r="G7" s="2"/>
      <c r="H7" s="2"/>
      <c r="I7" s="2"/>
      <c r="J7" s="2"/>
      <c r="K7" s="2"/>
      <c r="L7" s="2"/>
      <c r="M7" s="2"/>
      <c r="N7" s="2"/>
    </row>
    <row r="8" customFormat="false" ht="27.75" hidden="false" customHeight="true" outlineLevel="0" collapsed="false">
      <c r="A8" s="2"/>
      <c r="B8" s="24" t="s">
        <v>773</v>
      </c>
      <c r="C8" s="118" t="s">
        <v>774</v>
      </c>
      <c r="D8" s="116" t="s">
        <v>775</v>
      </c>
      <c r="E8" s="113" t="s">
        <v>776</v>
      </c>
      <c r="F8" s="130" t="s">
        <v>777</v>
      </c>
      <c r="G8" s="2"/>
      <c r="H8" s="2"/>
      <c r="I8" s="2"/>
      <c r="J8" s="2"/>
      <c r="K8" s="2"/>
      <c r="L8" s="2"/>
      <c r="M8" s="2"/>
      <c r="N8" s="2"/>
    </row>
    <row r="9" customFormat="false" ht="27.75" hidden="false" customHeight="true" outlineLevel="0" collapsed="false">
      <c r="A9" s="2"/>
      <c r="B9" s="24" t="s">
        <v>778</v>
      </c>
      <c r="C9" s="118" t="s">
        <v>779</v>
      </c>
      <c r="D9" s="116" t="s">
        <v>780</v>
      </c>
      <c r="E9" s="113" t="s">
        <v>781</v>
      </c>
      <c r="F9" s="130" t="s">
        <v>782</v>
      </c>
      <c r="G9" s="2"/>
      <c r="H9" s="2"/>
      <c r="I9" s="2"/>
      <c r="J9" s="2"/>
      <c r="K9" s="2"/>
      <c r="L9" s="2"/>
      <c r="M9" s="2"/>
      <c r="N9" s="2"/>
    </row>
    <row r="10" customFormat="false" ht="27.75" hidden="false" customHeight="true" outlineLevel="0" collapsed="false">
      <c r="A10" s="2"/>
      <c r="B10" s="24" t="s">
        <v>783</v>
      </c>
      <c r="C10" s="118" t="s">
        <v>784</v>
      </c>
      <c r="D10" s="116" t="s">
        <v>785</v>
      </c>
      <c r="E10" s="113" t="s">
        <v>786</v>
      </c>
      <c r="F10" s="130" t="s">
        <v>787</v>
      </c>
      <c r="G10" s="2"/>
      <c r="H10" s="2"/>
      <c r="I10" s="2"/>
      <c r="J10" s="2"/>
      <c r="K10" s="2"/>
      <c r="L10" s="2"/>
      <c r="M10" s="2"/>
      <c r="N10" s="2"/>
    </row>
    <row r="11" customFormat="false" ht="27.75" hidden="false" customHeight="true" outlineLevel="0" collapsed="false">
      <c r="A11" s="2"/>
      <c r="B11" s="24" t="s">
        <v>788</v>
      </c>
      <c r="C11" s="118" t="s">
        <v>789</v>
      </c>
      <c r="D11" s="116" t="s">
        <v>790</v>
      </c>
      <c r="E11" s="113" t="s">
        <v>791</v>
      </c>
      <c r="F11" s="130" t="s">
        <v>792</v>
      </c>
      <c r="G11" s="2"/>
      <c r="H11" s="2"/>
      <c r="I11" s="2"/>
      <c r="J11" s="2"/>
      <c r="K11" s="2"/>
      <c r="L11" s="2"/>
      <c r="M11" s="2"/>
      <c r="N11" s="2"/>
    </row>
    <row r="12" customFormat="false" ht="14.25" hidden="false" customHeight="true" outlineLevel="0" collapsed="false">
      <c r="A12" s="2"/>
      <c r="B12" s="24" t="s">
        <v>793</v>
      </c>
      <c r="C12" s="118" t="s">
        <v>794</v>
      </c>
      <c r="D12" s="116" t="s">
        <v>795</v>
      </c>
      <c r="E12" s="113" t="s">
        <v>796</v>
      </c>
      <c r="F12" s="130" t="s">
        <v>797</v>
      </c>
      <c r="G12" s="2"/>
      <c r="H12" s="2"/>
      <c r="I12" s="2"/>
      <c r="J12" s="2"/>
      <c r="K12" s="2"/>
      <c r="L12" s="2"/>
      <c r="M12" s="2"/>
      <c r="N12" s="2"/>
    </row>
    <row r="13" customFormat="false" ht="27.75" hidden="false" customHeight="true" outlineLevel="0" collapsed="false">
      <c r="A13" s="2"/>
      <c r="B13" s="24" t="s">
        <v>798</v>
      </c>
      <c r="C13" s="118" t="s">
        <v>799</v>
      </c>
      <c r="D13" s="116" t="s">
        <v>775</v>
      </c>
      <c r="E13" s="113" t="s">
        <v>776</v>
      </c>
      <c r="F13" s="130" t="s">
        <v>800</v>
      </c>
      <c r="G13" s="2"/>
      <c r="H13" s="2"/>
      <c r="I13" s="2"/>
      <c r="J13" s="2"/>
      <c r="K13" s="2"/>
      <c r="L13" s="2"/>
      <c r="M13" s="2"/>
      <c r="N13" s="2"/>
    </row>
    <row r="14" customFormat="false" ht="27.75" hidden="false" customHeight="true" outlineLevel="0" collapsed="false">
      <c r="A14" s="2"/>
      <c r="B14" s="24" t="s">
        <v>801</v>
      </c>
      <c r="C14" s="118" t="s">
        <v>784</v>
      </c>
      <c r="D14" s="116" t="s">
        <v>802</v>
      </c>
      <c r="E14" s="113" t="s">
        <v>803</v>
      </c>
      <c r="F14" s="130" t="s">
        <v>804</v>
      </c>
      <c r="G14" s="2"/>
      <c r="H14" s="2"/>
      <c r="I14" s="2"/>
      <c r="J14" s="2"/>
      <c r="K14" s="2"/>
      <c r="L14" s="2"/>
      <c r="M14" s="2"/>
      <c r="N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39.75" hidden="false" customHeight="true" outlineLevel="0" collapsed="false">
      <c r="A16" s="2"/>
      <c r="B16" s="43" t="s">
        <v>805</v>
      </c>
      <c r="C16" s="43"/>
      <c r="D16" s="43"/>
      <c r="E16" s="43"/>
      <c r="F16" s="43"/>
      <c r="G16" s="43"/>
      <c r="H16" s="2"/>
      <c r="I16" s="2"/>
      <c r="J16" s="2"/>
      <c r="K16" s="2"/>
      <c r="L16" s="2"/>
      <c r="M16" s="2"/>
      <c r="N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mergeCells count="2">
    <mergeCell ref="B2:G2"/>
    <mergeCell ref="B16:G1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N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24" activeCellId="0" sqref="C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25"/>
    <col collapsed="false" customWidth="true" hidden="false" outlineLevel="0" max="4" min="4" style="1" width="3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25" hidden="false" customHeight="true" outlineLevel="0" collapsed="false">
      <c r="A2" s="2"/>
      <c r="B2" s="16" t="s">
        <v>806</v>
      </c>
      <c r="C2" s="16"/>
      <c r="D2" s="16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3.25" hidden="false" customHeight="true" outlineLevel="0" collapsed="false">
      <c r="A4" s="2"/>
      <c r="B4" s="131" t="s">
        <v>807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7.25" hidden="false" customHeight="true" outlineLevel="0" collapsed="false">
      <c r="A6" s="2"/>
      <c r="B6" s="22" t="s">
        <v>14</v>
      </c>
      <c r="C6" s="23"/>
      <c r="D6" s="23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4.25" hidden="false" customHeight="true" outlineLevel="0" collapsed="false">
      <c r="A7" s="2"/>
      <c r="B7" s="24" t="s">
        <v>74</v>
      </c>
      <c r="C7" s="132" t="s">
        <v>808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27.75" hidden="false" customHeight="true" outlineLevel="0" collapsed="false">
      <c r="A8" s="2"/>
      <c r="B8" s="24" t="s">
        <v>80</v>
      </c>
      <c r="C8" s="132" t="s">
        <v>809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true" outlineLevel="0" collapsed="false">
      <c r="A9" s="2"/>
      <c r="B9" s="24" t="s">
        <v>810</v>
      </c>
      <c r="C9" s="132" t="s">
        <v>811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true" outlineLevel="0" collapsed="false">
      <c r="A10" s="2"/>
      <c r="B10" s="24" t="s">
        <v>812</v>
      </c>
      <c r="C10" s="132" t="n">
        <v>12000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4.25" hidden="false" customHeight="true" outlineLevel="0" collapsed="false">
      <c r="A11" s="2"/>
      <c r="B11" s="24" t="s">
        <v>813</v>
      </c>
      <c r="C11" s="132" t="n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27.75" hidden="false" customHeight="true" outlineLevel="0" collapsed="false">
      <c r="A12" s="2"/>
      <c r="B12" s="24" t="s">
        <v>814</v>
      </c>
      <c r="C12" s="132" t="s">
        <v>815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4.25" hidden="false" customHeight="true" outlineLevel="0" collapsed="false">
      <c r="A13" s="2"/>
      <c r="B13" s="24" t="s">
        <v>816</v>
      </c>
      <c r="C13" s="132" t="s">
        <v>817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25" hidden="false" customHeight="true" outlineLevel="0" collapsed="false">
      <c r="A14" s="2"/>
      <c r="B14" s="24" t="s">
        <v>87</v>
      </c>
      <c r="C14" s="132" t="s">
        <v>818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33.75" hidden="false" customHeight="true" outlineLevel="0" collapsed="false">
      <c r="A16" s="2"/>
      <c r="B16" s="22" t="s">
        <v>819</v>
      </c>
      <c r="C16" s="23"/>
      <c r="D16" s="23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27.75" hidden="false" customHeight="true" outlineLevel="0" collapsed="false">
      <c r="A17" s="2"/>
      <c r="B17" s="24" t="s">
        <v>335</v>
      </c>
      <c r="C17" s="132" t="s">
        <v>820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4.25" hidden="false" customHeight="true" outlineLevel="0" collapsed="false">
      <c r="A18" s="2"/>
      <c r="B18" s="24" t="s">
        <v>821</v>
      </c>
      <c r="C18" s="132" t="s">
        <v>822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4.25" hidden="false" customHeight="true" outlineLevel="0" collapsed="false">
      <c r="A19" s="2"/>
      <c r="B19" s="24" t="s">
        <v>561</v>
      </c>
      <c r="C19" s="132" t="s">
        <v>823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true" outlineLevel="0" collapsed="false">
      <c r="A20" s="2"/>
      <c r="B20" s="24" t="s">
        <v>824</v>
      </c>
      <c r="C20" s="132" t="s">
        <v>825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true" outlineLevel="0" collapsed="false">
      <c r="A21" s="2"/>
      <c r="B21" s="24" t="s">
        <v>826</v>
      </c>
      <c r="C21" s="132" t="s">
        <v>827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true" outlineLevel="0" collapsed="false">
      <c r="A22" s="2"/>
      <c r="B22" s="24" t="s">
        <v>828</v>
      </c>
      <c r="C22" s="132" t="s">
        <v>829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true" outlineLevel="0" collapsed="false">
      <c r="A23" s="2"/>
      <c r="B23" s="24" t="s">
        <v>830</v>
      </c>
      <c r="C23" s="132" t="s">
        <v>831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true" outlineLevel="0" collapsed="false">
      <c r="A24" s="2"/>
      <c r="B24" s="24" t="s">
        <v>832</v>
      </c>
      <c r="C24" s="132" t="s">
        <v>833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true" outlineLevel="0" collapsed="false">
      <c r="A25" s="2"/>
      <c r="B25" s="24" t="s">
        <v>834</v>
      </c>
      <c r="C25" s="133" t="s">
        <v>835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33.75" hidden="false" customHeight="true" outlineLevel="0" collapsed="false">
      <c r="A27" s="2"/>
      <c r="B27" s="22" t="s">
        <v>836</v>
      </c>
      <c r="C27" s="23"/>
      <c r="D27" s="23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27.75" hidden="false" customHeight="true" outlineLevel="0" collapsed="false">
      <c r="A28" s="2"/>
      <c r="B28" s="24" t="s">
        <v>837</v>
      </c>
      <c r="C28" s="132" t="s">
        <v>838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4.25" hidden="false" customHeight="true" outlineLevel="0" collapsed="false">
      <c r="A29" s="2"/>
      <c r="B29" s="24" t="s">
        <v>839</v>
      </c>
      <c r="C29" s="132" t="s">
        <v>840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4.25" hidden="false" customHeight="true" outlineLevel="0" collapsed="false">
      <c r="A30" s="2"/>
      <c r="B30" s="24" t="s">
        <v>841</v>
      </c>
      <c r="C30" s="132" t="s">
        <v>842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4.25" hidden="false" customHeight="true" outlineLevel="0" collapsed="false">
      <c r="A31" s="2"/>
      <c r="B31" s="24" t="s">
        <v>843</v>
      </c>
      <c r="C31" s="132" t="s">
        <v>844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4.25" hidden="false" customHeight="true" outlineLevel="0" collapsed="false">
      <c r="A32" s="2"/>
      <c r="B32" s="24" t="s">
        <v>845</v>
      </c>
      <c r="C32" s="132" t="s">
        <v>846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4.25" hidden="false" customHeight="true" outlineLevel="0" collapsed="false">
      <c r="A33" s="2"/>
      <c r="B33" s="24" t="s">
        <v>847</v>
      </c>
      <c r="C33" s="132" t="s">
        <v>848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4.25" hidden="false" customHeight="true" outlineLevel="0" collapsed="false">
      <c r="A34" s="2"/>
      <c r="B34" s="24" t="s">
        <v>849</v>
      </c>
      <c r="C34" s="132" t="s">
        <v>850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true" outlineLevel="0" collapsed="false">
      <c r="A35" s="2"/>
      <c r="B35" s="24" t="s">
        <v>851</v>
      </c>
      <c r="C35" s="134" t="s">
        <v>852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7.25" hidden="false" customHeight="true" outlineLevel="0" collapsed="false">
      <c r="A37" s="2"/>
      <c r="B37" s="22" t="s">
        <v>853</v>
      </c>
      <c r="C37" s="23"/>
      <c r="D37" s="23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4.25" hidden="false" customHeight="true" outlineLevel="0" collapsed="false">
      <c r="A38" s="2"/>
      <c r="B38" s="131" t="s">
        <v>854</v>
      </c>
      <c r="C38" s="135" t="s">
        <v>855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4.25" hidden="false" customHeight="true" outlineLevel="0" collapsed="false">
      <c r="A39" s="2"/>
      <c r="B39" s="131" t="s">
        <v>856</v>
      </c>
      <c r="C39" s="135" t="s">
        <v>857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4.25" hidden="false" customHeight="true" outlineLevel="0" collapsed="false">
      <c r="A40" s="2"/>
      <c r="B40" s="131" t="s">
        <v>441</v>
      </c>
      <c r="C40" s="135" t="s">
        <v>858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4.25" hidden="false" customHeight="true" outlineLevel="0" collapsed="false">
      <c r="A41" s="2"/>
      <c r="B41" s="131" t="s">
        <v>859</v>
      </c>
      <c r="C41" s="135" t="s">
        <v>860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4.25" hidden="false" customHeight="true" outlineLevel="0" collapsed="false">
      <c r="A42" s="2"/>
      <c r="B42" s="131" t="s">
        <v>861</v>
      </c>
      <c r="C42" s="135" t="s">
        <v>785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1">
    <mergeCell ref="B2:D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sheetData>
    <row r="1" customFormat="false" ht="14.25" hidden="false" customHeight="true" outlineLevel="0" collapsed="false">
      <c r="A1" s="136" t="s">
        <v>862</v>
      </c>
    </row>
    <row r="2" customFormat="false" ht="14.25" hidden="false" customHeight="true" outlineLevel="0" collapsed="false">
      <c r="A2" s="137" t="s">
        <v>863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84F58"/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sheetData>
    <row r="1" customFormat="false" ht="14.25" hidden="false" customHeight="true" outlineLevel="0" collapsed="false">
      <c r="A1" s="138" t="s">
        <v>864</v>
      </c>
    </row>
    <row r="2" customFormat="false" ht="14.25" hidden="false" customHeight="true" outlineLevel="0" collapsed="false">
      <c r="A2" s="1" t="s">
        <v>74</v>
      </c>
      <c r="B2" s="1" t="s">
        <v>77</v>
      </c>
      <c r="C2" s="1" t="s">
        <v>865</v>
      </c>
      <c r="D2" s="1" t="s">
        <v>97</v>
      </c>
      <c r="E2" s="1" t="s">
        <v>866</v>
      </c>
      <c r="F2" s="1" t="s">
        <v>867</v>
      </c>
      <c r="G2" s="1" t="s">
        <v>868</v>
      </c>
    </row>
    <row r="3" customFormat="false" ht="14.25" hidden="false" customHeight="true" outlineLevel="0" collapsed="false">
      <c r="A3" s="1" t="s">
        <v>75</v>
      </c>
      <c r="B3" s="1" t="s">
        <v>78</v>
      </c>
      <c r="C3" s="1" t="s">
        <v>100</v>
      </c>
      <c r="D3" s="1" t="s">
        <v>103</v>
      </c>
      <c r="E3" s="1" t="s">
        <v>102</v>
      </c>
      <c r="F3" s="1" t="s">
        <v>869</v>
      </c>
      <c r="G3" s="1" t="s">
        <v>102</v>
      </c>
    </row>
    <row r="4" customFormat="false" ht="14.25" hidden="false" customHeight="true" outlineLevel="0" collapsed="false">
      <c r="A4" s="1" t="s">
        <v>870</v>
      </c>
      <c r="B4" s="1" t="s">
        <v>871</v>
      </c>
      <c r="C4" s="1" t="s">
        <v>115</v>
      </c>
      <c r="D4" s="1" t="s">
        <v>113</v>
      </c>
      <c r="E4" s="1" t="s">
        <v>117</v>
      </c>
      <c r="F4" s="1" t="s">
        <v>872</v>
      </c>
      <c r="G4" s="1" t="s">
        <v>117</v>
      </c>
    </row>
    <row r="5" customFormat="false" ht="14.25" hidden="false" customHeight="true" outlineLevel="0" collapsed="false">
      <c r="A5" s="1" t="s">
        <v>873</v>
      </c>
      <c r="B5" s="1" t="s">
        <v>874</v>
      </c>
      <c r="C5" s="1" t="s">
        <v>125</v>
      </c>
      <c r="D5" s="1" t="s">
        <v>118</v>
      </c>
      <c r="E5" s="1" t="s">
        <v>127</v>
      </c>
      <c r="F5" s="1" t="s">
        <v>875</v>
      </c>
      <c r="G5" s="1" t="s">
        <v>876</v>
      </c>
    </row>
    <row r="6" customFormat="false" ht="14.25" hidden="false" customHeight="true" outlineLevel="0" collapsed="false">
      <c r="A6" s="1" t="s">
        <v>268</v>
      </c>
      <c r="B6" s="1" t="s">
        <v>877</v>
      </c>
      <c r="D6" s="1" t="s">
        <v>123</v>
      </c>
      <c r="F6" s="1" t="s">
        <v>123</v>
      </c>
    </row>
    <row r="7" customFormat="false" ht="14.25" hidden="false" customHeight="true" outlineLevel="0" collapsed="false">
      <c r="A7" s="1" t="s">
        <v>878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2026-05-23T20:35:28Z</dcterms:created>
  <dc:creator>openpyxl</dc:creator>
  <dc:description/>
  <dc:language>en-US</dc:language>
  <cp:lastModifiedBy>Nazim Boukhouf</cp:lastModifiedBy>
  <dcterms:modified xsi:type="dcterms:W3CDTF">2026-05-26T06:42:35Z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