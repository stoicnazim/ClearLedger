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ta Requirements" sheetId="3" state="visible" r:id="rId5"/>
    <sheet name="Bottleneck Analysis" sheetId="4" state="visible" r:id="rId6"/>
    <sheet name="Tool Comparison" sheetId="5" state="visible" r:id="rId7"/>
    <sheet name="List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<sst xmlns="http://schemas.openxmlformats.org/spreadsheetml/2006/main" count="215" uniqueCount="174">
  <si>
    <t xml:space="preserve">ClearLedger Advisory</t>
  </si>
  <si>
    <t xml:space="preserve">Process Mining</t>
  </si>
  <si>
    <t xml:space="preserve">Playbook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</si>
  <si>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</si>
  <si>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</si>
  <si>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</si>
  <si>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</si>
  <si>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</si>
  <si>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</si>
  <si>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</si>
  <si>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</si>
  <si>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</si>
  <si>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</si>
  <si>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</si>
  <si>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</si>
  <si>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</si>
  <si>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</si>
  <si>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Process-mining starter kit for OtC: data requirements, bottleneck analysis framework, and tool comparison for conformance and variant analysis.</t>
  </si>
  <si>
    <t xml:space="preserve">  CONTENTS</t>
  </si>
  <si>
    <t xml:space="preserve">01</t>
  </si>
  <si>
    <t xml:space="preserve">Data Requirements</t>
  </si>
  <si>
    <t xml:space="preserve">02</t>
  </si>
  <si>
    <t xml:space="preserve">Bottleneck Analysis</t>
  </si>
  <si>
    <t xml:space="preserve">03</t>
  </si>
  <si>
    <t xml:space="preserve">Tool Comparison</t>
  </si>
  <si>
    <t xml:space="preserve">ClearLedger Advisory · Process Mining</t>
  </si>
  <si>
    <t xml:space="preserve">How to Use This Pack</t>
  </si>
  <si>
    <t xml:space="preserve">Follow these steps from diagnostic to deployment</t>
  </si>
  <si>
    <t xml:space="preserve">Step 1</t>
  </si>
  <si>
    <t xml:space="preserve">Define Scope</t>
  </si>
  <si>
    <t xml:space="preserve">Identify OtC processes to mine.</t>
  </si>
  <si>
    <t xml:space="preserve">Step 2</t>
  </si>
  <si>
    <t xml:space="preserve">Extract Data</t>
  </si>
  <si>
    <t xml:space="preserve">Use the Data Requirements template.</t>
  </si>
  <si>
    <t xml:space="preserve">Step 3</t>
  </si>
  <si>
    <t xml:space="preserve">Analyse Bottlenecks</t>
  </si>
  <si>
    <t xml:space="preserve">Compare against APQC benchmarks.</t>
  </si>
  <si>
    <t xml:space="preserve">Step 4</t>
  </si>
  <si>
    <t xml:space="preserve">Select Tool</t>
  </si>
  <si>
    <t xml:space="preserve">Use Tool Comparison sheet.</t>
  </si>
  <si>
    <t xml:space="preserve">  ▸ Blue cells are inputs you edit. Black values are formula-driven — do not overtype them.</t>
  </si>
  <si>
    <t xml:space="preserve">Event Log Data Model</t>
  </si>
  <si>
    <t xml:space="preserve">Standard extraction template for OtC process mining</t>
  </si>
  <si>
    <t xml:space="preserve">Field</t>
  </si>
  <si>
    <t xml:space="preserve">Description</t>
  </si>
  <si>
    <t xml:space="preserve">Source</t>
  </si>
  <si>
    <t xml:space="preserve">Type</t>
  </si>
  <si>
    <t xml:space="preserve">Required</t>
  </si>
  <si>
    <t xml:space="preserve">Notes</t>
  </si>
  <si>
    <t xml:space="preserve">Case ID</t>
  </si>
  <si>
    <t xml:space="preserve">Unique invoice/payment ID</t>
  </si>
  <si>
    <t xml:space="preserve">ERP</t>
  </si>
  <si>
    <t xml:space="preserve">String</t>
  </si>
  <si>
    <t xml:space="preserve">Yes</t>
  </si>
  <si>
    <t xml:space="preserve">Invoice number or payment ref</t>
  </si>
  <si>
    <t xml:space="preserve">Activity</t>
  </si>
  <si>
    <t xml:space="preserve">Process step name</t>
  </si>
  <si>
    <t xml:space="preserve">ERP/System</t>
  </si>
  <si>
    <t xml:space="preserve">e.g. Generate Invoice, Send Invoice</t>
  </si>
  <si>
    <t xml:space="preserve">Timestamp</t>
  </si>
  <si>
    <t xml:space="preserve">Date and time of event</t>
  </si>
  <si>
    <t xml:space="preserve">System log</t>
  </si>
  <si>
    <t xml:space="preserve">DateTime</t>
  </si>
  <si>
    <t xml:space="preserve">YYYY-MM-DD HH:MM:SS format</t>
  </si>
  <si>
    <t xml:space="preserve">Resource</t>
  </si>
  <si>
    <t xml:space="preserve">User or system that performed</t>
  </si>
  <si>
    <t xml:space="preserve">ERP/SysLog</t>
  </si>
  <si>
    <t xml:space="preserve">No</t>
  </si>
  <si>
    <t xml:space="preserve">User ID or system name</t>
  </si>
  <si>
    <t xml:space="preserve">Customer</t>
  </si>
  <si>
    <t xml:space="preserve">Customer identifier</t>
  </si>
  <si>
    <t xml:space="preserve">Customer code or name</t>
  </si>
  <si>
    <t xml:space="preserve">Invoice Amount</t>
  </si>
  <si>
    <t xml:space="preserve">Invoice value in EUR</t>
  </si>
  <si>
    <t xml:space="preserve">Number</t>
  </si>
  <si>
    <t xml:space="preserve">Net amount excl. tax</t>
  </si>
  <si>
    <t xml:space="preserve">Currency</t>
  </si>
  <si>
    <t xml:space="preserve">Invoice currency code</t>
  </si>
  <si>
    <t xml:space="preserve">ISO 4217 e.g. EUR, USD</t>
  </si>
  <si>
    <t xml:space="preserve">Entity</t>
  </si>
  <si>
    <t xml:space="preserve">Legal entity / company code</t>
  </si>
  <si>
    <t xml:space="preserve">Company code</t>
  </si>
  <si>
    <t xml:space="preserve">Region</t>
  </si>
  <si>
    <t xml:space="preserve">Geographic region</t>
  </si>
  <si>
    <t xml:space="preserve">Derived from customer master</t>
  </si>
  <si>
    <t xml:space="preserve">Match Type</t>
  </si>
  <si>
    <t xml:space="preserve">How payment was applied</t>
  </si>
  <si>
    <t xml:space="preserve">AR sys</t>
  </si>
  <si>
    <t xml:space="preserve">Auto/Manual/AI/Exception</t>
  </si>
  <si>
    <t xml:space="preserve">Step Duration</t>
  </si>
  <si>
    <t xml:space="preserve">Duration of process step</t>
  </si>
  <si>
    <t xml:space="preserve">System</t>
  </si>
  <si>
    <t xml:space="preserve">Calculated in minutes</t>
  </si>
  <si>
    <t xml:space="preserve">Error Flag</t>
  </si>
  <si>
    <t xml:space="preserve">Was there an exception?</t>
  </si>
  <si>
    <t xml:space="preserve">Boolean</t>
  </si>
  <si>
    <t xml:space="preserve">TRUE if exception occurred</t>
  </si>
  <si>
    <t xml:space="preserve">APQC Bottleneck Benchmarks</t>
  </si>
  <si>
    <t xml:space="preserve">Compare your process cycle times</t>
  </si>
  <si>
    <t xml:space="preserve">Process Step</t>
  </si>
  <si>
    <t xml:space="preserve">Top</t>
  </si>
  <si>
    <t xml:space="preserve">Median</t>
  </si>
  <si>
    <t xml:space="preserve">Bottom</t>
  </si>
  <si>
    <t xml:space="preserve">Unit</t>
  </si>
  <si>
    <t xml:space="preserve">Improvement Levers</t>
  </si>
  <si>
    <t xml:space="preserve">Order-to-Invoice</t>
  </si>
  <si>
    <t xml:space="preserve">&lt;4hr</t>
  </si>
  <si>
    <t xml:space="preserve">24hr</t>
  </si>
  <si>
    <t xml:space="preserve">72hr</t>
  </si>
  <si>
    <t xml:space="preserve">Hours</t>
  </si>
  <si>
    <t xml:space="preserve">EDI/API order integration</t>
  </si>
  <si>
    <t xml:space="preserve">Invoice Delivery</t>
  </si>
  <si>
    <t xml:space="preserve">&lt;5min</t>
  </si>
  <si>
    <t xml:space="preserve">30min</t>
  </si>
  <si>
    <t xml:space="preserve">Auto EDI/Peppol delivery</t>
  </si>
  <si>
    <t xml:space="preserve">Payment to Match</t>
  </si>
  <si>
    <t xml:space="preserve">&lt;2hr</t>
  </si>
  <si>
    <t xml:space="preserve">8hr</t>
  </si>
  <si>
    <t xml:space="preserve">48hr</t>
  </si>
  <si>
    <t xml:space="preserve">AI remittance extraction</t>
  </si>
  <si>
    <t xml:space="preserve">Exception Resolution</t>
  </si>
  <si>
    <t xml:space="preserve">AI-suggested matches</t>
  </si>
  <si>
    <t xml:space="preserve">Dispute Resolution</t>
  </si>
  <si>
    <t xml:space="preserve">&lt;5d</t>
  </si>
  <si>
    <t xml:space="preserve">15d</t>
  </si>
  <si>
    <t xml:space="preserve">45d</t>
  </si>
  <si>
    <t xml:space="preserve">Days</t>
  </si>
  <si>
    <t xml:space="preserve">Taxonomy + SLA automation</t>
  </si>
  <si>
    <t xml:space="preserve">Cash App (end-to-end)</t>
  </si>
  <si>
    <t xml:space="preserve">6hr</t>
  </si>
  <si>
    <t xml:space="preserve">&gt;85% STP</t>
  </si>
  <si>
    <t xml:space="preserve">Month-End Close (AR)</t>
  </si>
  <si>
    <t xml:space="preserve">&lt;2d</t>
  </si>
  <si>
    <t xml:space="preserve">5d</t>
  </si>
  <si>
    <t xml:space="preserve">10d</t>
  </si>
  <si>
    <t xml:space="preserve">Auto reconciliations</t>
  </si>
  <si>
    <t xml:space="preserve">Credit Memo</t>
  </si>
  <si>
    <t xml:space="preserve">&lt;24hr</t>
  </si>
  <si>
    <t xml:space="preserve">3d</t>
  </si>
  <si>
    <t xml:space="preserve">Auto-approval within tolerance</t>
  </si>
  <si>
    <t xml:space="preserve">Process Mining Tool Comparison</t>
  </si>
  <si>
    <t xml:space="preserve">Score 0-5. Blue = editable.</t>
  </si>
  <si>
    <t xml:space="preserve">Criterion</t>
  </si>
  <si>
    <t xml:space="preserve">Celonis</t>
  </si>
  <si>
    <t xml:space="preserve">UiPath PA</t>
  </si>
  <si>
    <t xml:space="preserve">Signavio</t>
  </si>
  <si>
    <t xml:space="preserve">ARIS</t>
  </si>
  <si>
    <t xml:space="preserve">Data Connectivity</t>
  </si>
  <si>
    <t xml:space="preserve">ERP, SAP, cloud connectors</t>
  </si>
  <si>
    <t xml:space="preserve">Process Discovery</t>
  </si>
  <si>
    <t xml:space="preserve">Automated vs manual discovery</t>
  </si>
  <si>
    <t xml:space="preserve">AI/ML Capabilities</t>
  </si>
  <si>
    <t xml:space="preserve">Predictive analytics, anomaly detection</t>
  </si>
  <si>
    <t xml:space="preserve">OtC-specific Content</t>
  </si>
  <si>
    <t xml:space="preserve">Pre-built OtC process templates</t>
  </si>
  <si>
    <t xml:space="preserve">Ease of Use</t>
  </si>
  <si>
    <t xml:space="preserve">Learning curve for business users</t>
  </si>
  <si>
    <t xml:space="preserve">Implementation Time</t>
  </si>
  <si>
    <t xml:space="preserve">Weeks to first value</t>
  </si>
  <si>
    <t xml:space="preserve">Pricing (annual €)</t>
  </si>
  <si>
    <t xml:space="preserve">Scalability for mid-market</t>
  </si>
  <si>
    <t xml:space="preserve">Vendor Support</t>
  </si>
  <si>
    <t xml:space="preserve">Local vs global support model</t>
  </si>
  <si>
    <t xml:space="preserve">Average Score</t>
  </si>
  <si>
    <t xml:space="preserve">Maturity</t>
  </si>
  <si>
    <t xml:space="preserve">Priority</t>
  </si>
  <si>
    <t xml:space="preserve">Initial</t>
  </si>
  <si>
    <t xml:space="preserve">High</t>
  </si>
  <si>
    <t xml:space="preserve">Developing</t>
  </si>
  <si>
    <t xml:space="preserve">Medium</t>
  </si>
  <si>
    <t xml:space="preserve">Defined</t>
  </si>
  <si>
    <t xml:space="preserve">Low</t>
  </si>
  <si>
    <t xml:space="preserve">Managed</t>
  </si>
  <si>
    <t xml:space="preserve">Optimising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</si>
</sst>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08080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6E7681"/>
      <rgbColor rgb="FF9999FF"/>
      <rgbColor rgb="FF993366"/>
      <rgbColor rgb="FFF1F5F9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FFF99"/>
      <rgbColor rgb="FF99CCFF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23</v>
      </c>
      <c r="C28" s="14" t="s">
        <v>24</v>
      </c>
      <c r="D28" s="14"/>
      <c r="E28" s="15" t="s">
        <v>24</v>
      </c>
      <c r="F28" s="15"/>
      <c r="G28" s="15"/>
      <c r="H28" s="15"/>
      <c r="I28" s="15"/>
      <c r="J28" s="15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6" t="s">
        <v>25</v>
      </c>
      <c r="C30" s="16"/>
      <c r="D30" s="16"/>
      <c r="E30" s="16"/>
      <c r="F30" s="16"/>
      <c r="G30" s="16"/>
      <c r="H30" s="16"/>
      <c r="I30" s="16"/>
      <c r="J30" s="16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2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B30:J3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26</v>
      </c>
      <c r="C2" s="17"/>
    </row>
    <row r="3" customFormat="false" ht="15.75" hidden="false" customHeight="true" outlineLevel="0" collapsed="false">
      <c r="B3" s="18" t="s">
        <v>27</v>
      </c>
      <c r="C3" s="18"/>
    </row>
    <row r="5" customFormat="false" ht="21.75" hidden="false" customHeight="true" outlineLevel="0" collapsed="false">
      <c r="B5" s="19" t="s">
        <v>28</v>
      </c>
      <c r="C5" s="20" t="s">
        <v>29</v>
      </c>
    </row>
    <row r="6" customFormat="false" ht="30" hidden="false" customHeight="true" outlineLevel="0" collapsed="false">
      <c r="B6" s="21"/>
      <c r="C6" s="22" t="s">
        <v>30</v>
      </c>
    </row>
    <row r="7" customFormat="false" ht="21.75" hidden="false" customHeight="true" outlineLevel="0" collapsed="false">
      <c r="B7" s="19" t="s">
        <v>31</v>
      </c>
      <c r="C7" s="20" t="s">
        <v>32</v>
      </c>
    </row>
    <row r="8" customFormat="false" ht="30" hidden="false" customHeight="true" outlineLevel="0" collapsed="false">
      <c r="B8" s="21"/>
      <c r="C8" s="22" t="s">
        <v>33</v>
      </c>
    </row>
    <row r="9" customFormat="false" ht="21.75" hidden="false" customHeight="true" outlineLevel="0" collapsed="false">
      <c r="B9" s="19" t="s">
        <v>34</v>
      </c>
      <c r="C9" s="20" t="s">
        <v>35</v>
      </c>
    </row>
    <row r="10" customFormat="false" ht="30" hidden="false" customHeight="true" outlineLevel="0" collapsed="false">
      <c r="B10" s="21"/>
      <c r="C10" s="22" t="s">
        <v>36</v>
      </c>
    </row>
    <row r="11" customFormat="false" ht="21.75" hidden="false" customHeight="true" outlineLevel="0" collapsed="false">
      <c r="B11" s="19" t="s">
        <v>37</v>
      </c>
      <c r="C11" s="20" t="s">
        <v>38</v>
      </c>
    </row>
    <row r="12" customFormat="false" ht="30" hidden="false" customHeight="true" outlineLevel="0" collapsed="false">
      <c r="B12" s="21"/>
      <c r="C12" s="22" t="s">
        <v>39</v>
      </c>
    </row>
    <row r="14" customFormat="false" ht="24" hidden="false" customHeight="true" outlineLevel="0" collapsed="false">
      <c r="B14" s="23" t="s">
        <v>40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31"/>
    <col collapsed="false" customWidth="true" hidden="false" outlineLevel="0" max="6" min="4" style="0" width="12"/>
    <col collapsed="false" customWidth="true" hidden="false" outlineLevel="0" max="7" min="7" style="0" width="37"/>
  </cols>
  <sheetData>
    <row r="2" customFormat="false" ht="30" hidden="false" customHeight="true" outlineLevel="0" collapsed="false">
      <c r="B2" s="17" t="s">
        <v>41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42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43</v>
      </c>
      <c r="C5" s="24" t="s">
        <v>44</v>
      </c>
      <c r="D5" s="24" t="s">
        <v>45</v>
      </c>
      <c r="E5" s="24" t="s">
        <v>46</v>
      </c>
      <c r="F5" s="24" t="s">
        <v>47</v>
      </c>
      <c r="G5" s="24" t="s">
        <v>48</v>
      </c>
    </row>
    <row r="6" customFormat="false" ht="27.75" hidden="false" customHeight="true" outlineLevel="0" collapsed="false">
      <c r="B6" s="25" t="s">
        <v>49</v>
      </c>
      <c r="C6" s="26" t="s">
        <v>50</v>
      </c>
      <c r="D6" s="26" t="s">
        <v>51</v>
      </c>
      <c r="E6" s="26" t="s">
        <v>52</v>
      </c>
      <c r="F6" s="26" t="s">
        <v>53</v>
      </c>
      <c r="G6" s="26" t="s">
        <v>54</v>
      </c>
    </row>
    <row r="7" customFormat="false" ht="27.75" hidden="false" customHeight="true" outlineLevel="0" collapsed="false">
      <c r="B7" s="27" t="s">
        <v>55</v>
      </c>
      <c r="C7" s="28" t="s">
        <v>56</v>
      </c>
      <c r="D7" s="28" t="s">
        <v>57</v>
      </c>
      <c r="E7" s="28" t="s">
        <v>52</v>
      </c>
      <c r="F7" s="28" t="s">
        <v>53</v>
      </c>
      <c r="G7" s="28" t="s">
        <v>58</v>
      </c>
    </row>
    <row r="8" customFormat="false" ht="27.75" hidden="false" customHeight="true" outlineLevel="0" collapsed="false">
      <c r="B8" s="25" t="s">
        <v>59</v>
      </c>
      <c r="C8" s="26" t="s">
        <v>60</v>
      </c>
      <c r="D8" s="26" t="s">
        <v>61</v>
      </c>
      <c r="E8" s="26" t="s">
        <v>62</v>
      </c>
      <c r="F8" s="26" t="s">
        <v>53</v>
      </c>
      <c r="G8" s="26" t="s">
        <v>63</v>
      </c>
    </row>
    <row r="9" customFormat="false" ht="27.75" hidden="false" customHeight="true" outlineLevel="0" collapsed="false">
      <c r="B9" s="27" t="s">
        <v>64</v>
      </c>
      <c r="C9" s="28" t="s">
        <v>65</v>
      </c>
      <c r="D9" s="28" t="s">
        <v>66</v>
      </c>
      <c r="E9" s="28" t="s">
        <v>52</v>
      </c>
      <c r="F9" s="28" t="s">
        <v>67</v>
      </c>
      <c r="G9" s="28" t="s">
        <v>68</v>
      </c>
    </row>
    <row r="10" customFormat="false" ht="27.75" hidden="false" customHeight="true" outlineLevel="0" collapsed="false">
      <c r="B10" s="25" t="s">
        <v>69</v>
      </c>
      <c r="C10" s="26" t="s">
        <v>70</v>
      </c>
      <c r="D10" s="26" t="s">
        <v>51</v>
      </c>
      <c r="E10" s="26" t="s">
        <v>52</v>
      </c>
      <c r="F10" s="26" t="s">
        <v>53</v>
      </c>
      <c r="G10" s="26" t="s">
        <v>71</v>
      </c>
    </row>
    <row r="11" customFormat="false" ht="27.75" hidden="false" customHeight="true" outlineLevel="0" collapsed="false">
      <c r="B11" s="27" t="s">
        <v>72</v>
      </c>
      <c r="C11" s="28" t="s">
        <v>73</v>
      </c>
      <c r="D11" s="28" t="s">
        <v>51</v>
      </c>
      <c r="E11" s="28" t="s">
        <v>74</v>
      </c>
      <c r="F11" s="28" t="s">
        <v>53</v>
      </c>
      <c r="G11" s="28" t="s">
        <v>75</v>
      </c>
    </row>
    <row r="12" customFormat="false" ht="27.75" hidden="false" customHeight="true" outlineLevel="0" collapsed="false">
      <c r="B12" s="25" t="s">
        <v>76</v>
      </c>
      <c r="C12" s="26" t="s">
        <v>77</v>
      </c>
      <c r="D12" s="26" t="s">
        <v>51</v>
      </c>
      <c r="E12" s="26" t="s">
        <v>52</v>
      </c>
      <c r="F12" s="26" t="s">
        <v>53</v>
      </c>
      <c r="G12" s="26" t="s">
        <v>78</v>
      </c>
    </row>
    <row r="13" customFormat="false" ht="27.75" hidden="false" customHeight="true" outlineLevel="0" collapsed="false">
      <c r="B13" s="27" t="s">
        <v>79</v>
      </c>
      <c r="C13" s="28" t="s">
        <v>80</v>
      </c>
      <c r="D13" s="28" t="s">
        <v>51</v>
      </c>
      <c r="E13" s="28" t="s">
        <v>52</v>
      </c>
      <c r="F13" s="28" t="s">
        <v>53</v>
      </c>
      <c r="G13" s="28" t="s">
        <v>81</v>
      </c>
    </row>
    <row r="14" customFormat="false" ht="27.75" hidden="false" customHeight="true" outlineLevel="0" collapsed="false">
      <c r="B14" s="25" t="s">
        <v>82</v>
      </c>
      <c r="C14" s="26" t="s">
        <v>83</v>
      </c>
      <c r="D14" s="26" t="s">
        <v>51</v>
      </c>
      <c r="E14" s="26" t="s">
        <v>52</v>
      </c>
      <c r="F14" s="26" t="s">
        <v>67</v>
      </c>
      <c r="G14" s="26" t="s">
        <v>84</v>
      </c>
    </row>
    <row r="15" customFormat="false" ht="27.75" hidden="false" customHeight="true" outlineLevel="0" collapsed="false">
      <c r="B15" s="27" t="s">
        <v>85</v>
      </c>
      <c r="C15" s="28" t="s">
        <v>86</v>
      </c>
      <c r="D15" s="28" t="s">
        <v>87</v>
      </c>
      <c r="E15" s="28" t="s">
        <v>52</v>
      </c>
      <c r="F15" s="28" t="s">
        <v>67</v>
      </c>
      <c r="G15" s="28" t="s">
        <v>88</v>
      </c>
    </row>
    <row r="16" customFormat="false" ht="27.75" hidden="false" customHeight="true" outlineLevel="0" collapsed="false">
      <c r="B16" s="25" t="s">
        <v>89</v>
      </c>
      <c r="C16" s="26" t="s">
        <v>90</v>
      </c>
      <c r="D16" s="26" t="s">
        <v>91</v>
      </c>
      <c r="E16" s="26" t="s">
        <v>74</v>
      </c>
      <c r="F16" s="26" t="s">
        <v>67</v>
      </c>
      <c r="G16" s="26" t="s">
        <v>92</v>
      </c>
    </row>
    <row r="17" customFormat="false" ht="27.75" hidden="false" customHeight="true" outlineLevel="0" collapsed="false">
      <c r="B17" s="27" t="s">
        <v>93</v>
      </c>
      <c r="C17" s="28" t="s">
        <v>94</v>
      </c>
      <c r="D17" s="28" t="s">
        <v>91</v>
      </c>
      <c r="E17" s="28" t="s">
        <v>95</v>
      </c>
      <c r="F17" s="28" t="s">
        <v>67</v>
      </c>
      <c r="G17" s="28" t="s">
        <v>96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2"/>
    <col collapsed="false" customWidth="true" hidden="false" outlineLevel="0" max="7" min="7" style="0" width="32"/>
  </cols>
  <sheetData>
    <row r="2" customFormat="false" ht="30" hidden="false" customHeight="true" outlineLevel="0" collapsed="false">
      <c r="B2" s="17" t="s">
        <v>97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98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99</v>
      </c>
      <c r="C5" s="24" t="s">
        <v>100</v>
      </c>
      <c r="D5" s="24" t="s">
        <v>101</v>
      </c>
      <c r="E5" s="24" t="s">
        <v>102</v>
      </c>
      <c r="F5" s="24" t="s">
        <v>103</v>
      </c>
      <c r="G5" s="24" t="s">
        <v>104</v>
      </c>
    </row>
    <row r="6" customFormat="false" ht="27.75" hidden="false" customHeight="true" outlineLevel="0" collapsed="false">
      <c r="B6" s="25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  <c r="G6" s="26" t="s">
        <v>110</v>
      </c>
    </row>
    <row r="7" customFormat="false" ht="27.75" hidden="false" customHeight="true" outlineLevel="0" collapsed="false">
      <c r="B7" s="27" t="s">
        <v>111</v>
      </c>
      <c r="C7" s="28" t="s">
        <v>112</v>
      </c>
      <c r="D7" s="28" t="s">
        <v>113</v>
      </c>
      <c r="E7" s="28" t="s">
        <v>107</v>
      </c>
      <c r="F7" s="28" t="s">
        <v>109</v>
      </c>
      <c r="G7" s="28" t="s">
        <v>114</v>
      </c>
    </row>
    <row r="8" customFormat="false" ht="27.75" hidden="false" customHeight="true" outlineLevel="0" collapsed="false">
      <c r="B8" s="25" t="s">
        <v>115</v>
      </c>
      <c r="C8" s="26" t="s">
        <v>116</v>
      </c>
      <c r="D8" s="26" t="s">
        <v>117</v>
      </c>
      <c r="E8" s="26" t="s">
        <v>118</v>
      </c>
      <c r="F8" s="26" t="s">
        <v>109</v>
      </c>
      <c r="G8" s="26" t="s">
        <v>119</v>
      </c>
    </row>
    <row r="9" customFormat="false" ht="27.75" hidden="false" customHeight="true" outlineLevel="0" collapsed="false">
      <c r="B9" s="27" t="s">
        <v>120</v>
      </c>
      <c r="C9" s="28" t="s">
        <v>106</v>
      </c>
      <c r="D9" s="28" t="s">
        <v>107</v>
      </c>
      <c r="E9" s="28" t="s">
        <v>108</v>
      </c>
      <c r="F9" s="28" t="s">
        <v>109</v>
      </c>
      <c r="G9" s="28" t="s">
        <v>121</v>
      </c>
    </row>
    <row r="10" customFormat="false" ht="27.75" hidden="false" customHeight="true" outlineLevel="0" collapsed="false">
      <c r="B10" s="25" t="s">
        <v>122</v>
      </c>
      <c r="C10" s="26" t="s">
        <v>123</v>
      </c>
      <c r="D10" s="26" t="s">
        <v>124</v>
      </c>
      <c r="E10" s="26" t="s">
        <v>125</v>
      </c>
      <c r="F10" s="26" t="s">
        <v>126</v>
      </c>
      <c r="G10" s="26" t="s">
        <v>127</v>
      </c>
    </row>
    <row r="11" customFormat="false" ht="27.75" hidden="false" customHeight="true" outlineLevel="0" collapsed="false">
      <c r="B11" s="27" t="s">
        <v>128</v>
      </c>
      <c r="C11" s="28" t="s">
        <v>116</v>
      </c>
      <c r="D11" s="28" t="s">
        <v>129</v>
      </c>
      <c r="E11" s="28" t="s">
        <v>107</v>
      </c>
      <c r="F11" s="28" t="s">
        <v>109</v>
      </c>
      <c r="G11" s="28" t="s">
        <v>130</v>
      </c>
    </row>
    <row r="12" customFormat="false" ht="27.75" hidden="false" customHeight="true" outlineLevel="0" collapsed="false">
      <c r="B12" s="25" t="s">
        <v>131</v>
      </c>
      <c r="C12" s="26" t="s">
        <v>132</v>
      </c>
      <c r="D12" s="26" t="s">
        <v>133</v>
      </c>
      <c r="E12" s="26" t="s">
        <v>134</v>
      </c>
      <c r="F12" s="26" t="s">
        <v>126</v>
      </c>
      <c r="G12" s="26" t="s">
        <v>135</v>
      </c>
    </row>
    <row r="13" customFormat="false" ht="27.75" hidden="false" customHeight="true" outlineLevel="0" collapsed="false">
      <c r="B13" s="27" t="s">
        <v>136</v>
      </c>
      <c r="C13" s="28" t="s">
        <v>137</v>
      </c>
      <c r="D13" s="28" t="s">
        <v>138</v>
      </c>
      <c r="E13" s="28" t="s">
        <v>134</v>
      </c>
      <c r="F13" s="28" t="s">
        <v>126</v>
      </c>
      <c r="G13" s="28" t="s">
        <v>139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6" min="3" style="0" width="29"/>
    <col collapsed="false" customWidth="true" hidden="false" outlineLevel="0" max="7" min="7" style="0" width="41"/>
  </cols>
  <sheetData>
    <row r="2" customFormat="false" ht="30" hidden="false" customHeight="true" outlineLevel="0" collapsed="false">
      <c r="B2" s="17" t="s">
        <v>140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141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142</v>
      </c>
      <c r="C5" s="24" t="s">
        <v>143</v>
      </c>
      <c r="D5" s="24" t="s">
        <v>144</v>
      </c>
      <c r="E5" s="24" t="s">
        <v>145</v>
      </c>
      <c r="F5" s="24" t="s">
        <v>146</v>
      </c>
      <c r="G5" s="24" t="s">
        <v>48</v>
      </c>
    </row>
    <row r="6" customFormat="false" ht="27.75" hidden="false" customHeight="true" outlineLevel="0" collapsed="false">
      <c r="B6" s="25" t="s">
        <v>147</v>
      </c>
      <c r="C6" s="26" t="n">
        <v>4</v>
      </c>
      <c r="D6" s="26" t="n">
        <v>3</v>
      </c>
      <c r="E6" s="26" t="n">
        <v>4</v>
      </c>
      <c r="F6" s="26" t="n">
        <v>3</v>
      </c>
      <c r="G6" s="26" t="s">
        <v>148</v>
      </c>
    </row>
    <row r="7" customFormat="false" ht="27.75" hidden="false" customHeight="true" outlineLevel="0" collapsed="false">
      <c r="B7" s="27" t="s">
        <v>149</v>
      </c>
      <c r="C7" s="28" t="n">
        <v>5</v>
      </c>
      <c r="D7" s="28" t="n">
        <v>4</v>
      </c>
      <c r="E7" s="28" t="n">
        <v>4</v>
      </c>
      <c r="F7" s="28" t="n">
        <v>4</v>
      </c>
      <c r="G7" s="28" t="s">
        <v>150</v>
      </c>
    </row>
    <row r="8" customFormat="false" ht="27.75" hidden="false" customHeight="true" outlineLevel="0" collapsed="false">
      <c r="B8" s="25" t="s">
        <v>151</v>
      </c>
      <c r="C8" s="26" t="n">
        <v>5</v>
      </c>
      <c r="D8" s="26" t="n">
        <v>4</v>
      </c>
      <c r="E8" s="26" t="n">
        <v>3</v>
      </c>
      <c r="F8" s="26" t="n">
        <v>2</v>
      </c>
      <c r="G8" s="26" t="s">
        <v>152</v>
      </c>
    </row>
    <row r="9" customFormat="false" ht="27.75" hidden="false" customHeight="true" outlineLevel="0" collapsed="false">
      <c r="B9" s="27" t="s">
        <v>153</v>
      </c>
      <c r="C9" s="28" t="n">
        <v>3</v>
      </c>
      <c r="D9" s="28" t="n">
        <v>2</v>
      </c>
      <c r="E9" s="28" t="n">
        <v>3</v>
      </c>
      <c r="F9" s="28" t="n">
        <v>2</v>
      </c>
      <c r="G9" s="28" t="s">
        <v>154</v>
      </c>
    </row>
    <row r="10" customFormat="false" ht="27.75" hidden="false" customHeight="true" outlineLevel="0" collapsed="false">
      <c r="B10" s="25" t="s">
        <v>155</v>
      </c>
      <c r="C10" s="26" t="n">
        <v>3</v>
      </c>
      <c r="D10" s="26" t="n">
        <v>4</v>
      </c>
      <c r="E10" s="26" t="n">
        <v>4</v>
      </c>
      <c r="F10" s="26" t="n">
        <v>3</v>
      </c>
      <c r="G10" s="26" t="s">
        <v>156</v>
      </c>
    </row>
    <row r="11" customFormat="false" ht="27.75" hidden="false" customHeight="true" outlineLevel="0" collapsed="false">
      <c r="B11" s="27" t="s">
        <v>157</v>
      </c>
      <c r="C11" s="28" t="n">
        <v>4</v>
      </c>
      <c r="D11" s="28" t="n">
        <v>3</v>
      </c>
      <c r="E11" s="28" t="n">
        <v>4</v>
      </c>
      <c r="F11" s="28" t="n">
        <v>3</v>
      </c>
      <c r="G11" s="28" t="s">
        <v>158</v>
      </c>
    </row>
    <row r="12" customFormat="false" ht="27.75" hidden="false" customHeight="true" outlineLevel="0" collapsed="false">
      <c r="B12" s="25" t="s">
        <v>159</v>
      </c>
      <c r="C12" s="26" t="n">
        <v>3</v>
      </c>
      <c r="D12" s="26" t="n">
        <v>4</v>
      </c>
      <c r="E12" s="26" t="n">
        <v>3</v>
      </c>
      <c r="F12" s="26" t="n">
        <v>4</v>
      </c>
      <c r="G12" s="26" t="s">
        <v>160</v>
      </c>
    </row>
    <row r="13" customFormat="false" ht="27.75" hidden="false" customHeight="true" outlineLevel="0" collapsed="false">
      <c r="B13" s="27" t="s">
        <v>161</v>
      </c>
      <c r="C13" s="28" t="n">
        <v>4</v>
      </c>
      <c r="D13" s="28" t="n">
        <v>3</v>
      </c>
      <c r="E13" s="28" t="n">
        <v>4</v>
      </c>
      <c r="F13" s="28" t="n">
        <v>3</v>
      </c>
      <c r="G13" s="28" t="s">
        <v>162</v>
      </c>
    </row>
    <row r="14" customFormat="false" ht="27.75" hidden="false" customHeight="true" outlineLevel="0" collapsed="false">
      <c r="B14" s="25" t="s">
        <v>163</v>
      </c>
      <c r="C14" s="26" t="n">
        <f aca="false">IFERROR(AVERAGE(C6:C13),0)</f>
        <v>3.875</v>
      </c>
      <c r="D14" s="26" t="n">
        <f aca="false">IFERROR(AVERAGE(D6:D13),0)</f>
        <v>3.375</v>
      </c>
      <c r="E14" s="26" t="n">
        <f aca="false">IFERROR(AVERAGE(E6:E13),0)</f>
        <v>3.625</v>
      </c>
      <c r="F14" s="26" t="n">
        <f aca="false">IFERROR(AVERAGE(F6:F13),0)</f>
        <v>3</v>
      </c>
      <c r="G14" s="26"/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164</v>
      </c>
      <c r="B1" s="0" t="s">
        <v>165</v>
      </c>
    </row>
    <row r="2" customFormat="false" ht="15" hidden="false" customHeight="false" outlineLevel="0" collapsed="false">
      <c r="A2" s="0" t="s">
        <v>166</v>
      </c>
      <c r="B2" s="0" t="s">
        <v>167</v>
      </c>
    </row>
    <row r="3" customFormat="false" ht="15" hidden="false" customHeight="false" outlineLevel="0" collapsed="false">
      <c r="A3" s="0" t="s">
        <v>168</v>
      </c>
      <c r="B3" s="0" t="s">
        <v>169</v>
      </c>
    </row>
    <row r="4" customFormat="false" ht="15" hidden="false" customHeight="false" outlineLevel="0" collapsed="false">
      <c r="A4" s="0" t="s">
        <v>170</v>
      </c>
      <c r="B4" s="0" t="s">
        <v>171</v>
      </c>
    </row>
    <row r="5" customFormat="false" ht="15" hidden="false" customHeight="false" outlineLevel="0" collapsed="false">
      <c r="A5" s="0" t="s">
        <v>172</v>
      </c>
    </row>
    <row r="6" customFormat="false" ht="15" hidden="false" customHeight="false" outlineLevel="0" collapsed="false">
      <c r="A6" s="0" t="s">
        <v>173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