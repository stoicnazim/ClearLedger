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WC Dashboard" sheetId="3" state="visible" r:id="rId5"/>
    <sheet name="DSO Drivers" sheetId="4" state="visible" r:id="rId6"/>
    <sheet name="Cash Forecast" sheetId="5" state="visible" r:id="rId7"/>
    <sheet name="KPI Scorecard" sheetId="6" state="visible" r:id="rId8"/>
    <sheet name="Benchmarks" sheetId="7" state="visible" r:id="rId9"/>
    <sheet name="Lists" sheetId="8" state="hidden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<sst xmlns="http://schemas.openxmlformats.org/spreadsheetml/2006/main" count="220" uniqueCount="178">
  <si>
    <t xml:space="preserve">ClearLedger Advisory</t>
  </si>
  <si>
    <t xml:space="preserve">Treasury &amp; Working</t>
  </si>
  <si>
    <t xml:space="preserve">Capital Guide</t>
  </si>
  <si>
    <t xml:space="preserve">TOOLKIT 2.0  ·  PROCESS OPTIMIZATION SERIES</t>
  </si>
  <si>
    <t xml:space="preserve">APQC PCF v8.0 aligned  ·  Templates · Frameworks · Benchmarks</t>
  </si>
  <si>
    <t xml:space="preserve">  DOCUMENT INFORMATION</t>
  </si>
  <si>
    <t xml:space="preserve">Prepared for</t>
  </si>
  <si>
    <t xml:space="preserve">[Client Name]</t>
  </si>
  <si>
    <t xml:space="preserve">Prepared by</t>
  </si>
  <si>
    <t xml:space="preserve">[Consultant Name]</t>
  </si>
  <si>
    <t xml:space="preserve">Engagement date</t>
  </si>
  <si>
    <t xml:space="preserve">[Date]</t>
  </si>
  <si>
    <t xml:space="preserve">Version</t>
  </si>
  <si>
    <t xml:space="preserve">1.0</t>
  </si>
  <si>
    <t xml:space="preserve">License</t>
  </si>
  <si>
    <t xml:space="preserve">Single-entity commercial license</t>
  </si>
  <si>
    <t xml:space="preserve">  WHAT'S INSIDE</t>
  </si>
  <si>
    <t xml:space="preserve">Working-capital optimisation toolkit: WC dashboard, DSO driver analysis, 13-week cash forecast, and KPI scorecard linking AR performance to cash conversion.</t>
  </si>
  <si>
    <t xml:space="preserve">  CONTENTS</t>
  </si>
  <si>
    <t xml:space="preserve">01</t>
  </si>
  <si>
    <t xml:space="preserve">WC Dashboard</t>
  </si>
  <si>
    <t xml:space="preserve">02</t>
  </si>
  <si>
    <t xml:space="preserve">DSO Drivers</t>
  </si>
  <si>
    <t xml:space="preserve">03</t>
  </si>
  <si>
    <t xml:space="preserve">Cash Forecast</t>
  </si>
  <si>
    <t xml:space="preserve">04</t>
  </si>
  <si>
    <t xml:space="preserve">KPI Scorecard</t>
  </si>
  <si>
    <t xml:space="preserve">KPIs · APQC v8.0 benchmarks · RAG status</t>
  </si>
  <si>
    <t xml:space="preserve">05</t>
  </si>
  <si>
    <t xml:space="preserve">Benchmarks</t>
  </si>
  <si>
    <t xml:space="preserve">APQC / Hackett reference data</t>
  </si>
  <si>
    <t xml:space="preserve">APQC PCF v8.0: 8.3 Manage Treasury Operations</t>
  </si>
  <si>
    <t xml:space="preserve">How to Use This Pack</t>
  </si>
  <si>
    <t xml:space="preserve">Follow these steps from diagnostic to deployment</t>
  </si>
  <si>
    <t xml:space="preserve">Step 1</t>
  </si>
  <si>
    <t xml:space="preserve">Assess WC</t>
  </si>
  <si>
    <t xml:space="preserve">Enter your metrics in the WC Dashboard (blue cells).</t>
  </si>
  <si>
    <t xml:space="preserve">Step 2</t>
  </si>
  <si>
    <t xml:space="preserve">Identify Drivers</t>
  </si>
  <si>
    <t xml:space="preserve">Use DSO Drivers analysis to find root causes.</t>
  </si>
  <si>
    <t xml:space="preserve">Step 3</t>
  </si>
  <si>
    <t xml:space="preserve">Forecast Cash</t>
  </si>
  <si>
    <t xml:space="preserve">Use 13-week rolling forecast.</t>
  </si>
  <si>
    <t xml:space="preserve">Step 4</t>
  </si>
  <si>
    <t xml:space="preserve">Create Action Plan</t>
  </si>
  <si>
    <t xml:space="preserve">Use 90-day roadmap for improvement initiatives.</t>
  </si>
  <si>
    <t xml:space="preserve">  ▸ Blue cells are inputs you edit. Black values are formula-driven — do not overtype them.</t>
  </si>
  <si>
    <t xml:space="preserve">Working Capital Scorecard</t>
  </si>
  <si>
    <t xml:space="preserve">Enter your actuals. Auto-highlighted vs benchmarks.</t>
  </si>
  <si>
    <t xml:space="preserve">Metric</t>
  </si>
  <si>
    <t xml:space="preserve">Your Current</t>
  </si>
  <si>
    <t xml:space="preserve">Your Target</t>
  </si>
  <si>
    <t xml:space="preserve">Top Quartile</t>
  </si>
  <si>
    <t xml:space="preserve">Median</t>
  </si>
  <si>
    <t xml:space="preserve">Bottom Quartile</t>
  </si>
  <si>
    <t xml:space="preserve">DSO (days)</t>
  </si>
  <si>
    <t xml:space="preserve">38</t>
  </si>
  <si>
    <t xml:space="preserve">30</t>
  </si>
  <si>
    <t xml:space="preserve">DDO (days)</t>
  </si>
  <si>
    <t xml:space="preserve">18</t>
  </si>
  <si>
    <t xml:space="preserve">10</t>
  </si>
  <si>
    <t xml:space="preserve">CEI (%)</t>
  </si>
  <si>
    <t xml:space="preserve">84</t>
  </si>
  <si>
    <t xml:space="preserve">92</t>
  </si>
  <si>
    <t xml:space="preserve">DPO (days)</t>
  </si>
  <si>
    <t xml:space="preserve">52</t>
  </si>
  <si>
    <t xml:space="preserve">60</t>
  </si>
  <si>
    <t xml:space="preserve">CCC (days)</t>
  </si>
  <si>
    <t xml:space="preserve">34</t>
  </si>
  <si>
    <t xml:space="preserve">22</t>
  </si>
  <si>
    <t xml:space="preserve">AR Turnover</t>
  </si>
  <si>
    <t xml:space="preserve">8.5</t>
  </si>
  <si>
    <t xml:space="preserve">12</t>
  </si>
  <si>
    <t xml:space="preserve">Bad Debt % of Revenue</t>
  </si>
  <si>
    <t xml:space="preserve">1.8</t>
  </si>
  <si>
    <t xml:space="preserve">0.8</t>
  </si>
  <si>
    <t xml:space="preserve">Cash Forecast Accuracy (%)</t>
  </si>
  <si>
    <t xml:space="preserve">78</t>
  </si>
  <si>
    <t xml:space="preserve">90</t>
  </si>
  <si>
    <t xml:space="preserve">AR as % of Current Assets</t>
  </si>
  <si>
    <t xml:space="preserve">42</t>
  </si>
  <si>
    <t xml:space="preserve">35</t>
  </si>
  <si>
    <t xml:space="preserve">Discount Cost % of Revenue</t>
  </si>
  <si>
    <t xml:space="preserve">0.5</t>
  </si>
  <si>
    <t xml:space="preserve">DSO Root Cause &amp; Action Levers</t>
  </si>
  <si>
    <t xml:space="preserve">Identify DSO drivers and select improvement levers</t>
  </si>
  <si>
    <t xml:space="preserve">Driver</t>
  </si>
  <si>
    <t xml:space="preserve">Impact (days)</t>
  </si>
  <si>
    <t xml:space="preserve">Weight %</t>
  </si>
  <si>
    <t xml:space="preserve">Priority</t>
  </si>
  <si>
    <t xml:space="preserve">Action Levers</t>
  </si>
  <si>
    <t xml:space="preserve">Slow Invoice Delivery</t>
  </si>
  <si>
    <t xml:space="preserve">+3-5</t>
  </si>
  <si>
    <t xml:space="preserve">High</t>
  </si>
  <si>
    <t xml:space="preserve">EDI/Peppol auto-delivery, portal</t>
  </si>
  <si>
    <t xml:space="preserve">Extended Payment Terms</t>
  </si>
  <si>
    <t xml:space="preserve">+5-15</t>
  </si>
  <si>
    <t xml:space="preserve">Terms harmonisation, prompt-pay discount</t>
  </si>
  <si>
    <t xml:space="preserve">Cash App Delays</t>
  </si>
  <si>
    <t xml:space="preserve">+2-4</t>
  </si>
  <si>
    <t xml:space="preserve">AI auto-match, &gt;85% STP target</t>
  </si>
  <si>
    <t xml:space="preserve">Dispute Resolution Lag</t>
  </si>
  <si>
    <t xml:space="preserve">+3-8</t>
  </si>
  <si>
    <t xml:space="preserve">Medium</t>
  </si>
  <si>
    <t xml:space="preserve">SLA enforcement, reason code taxonomy</t>
  </si>
  <si>
    <t xml:space="preserve">Customer Payment Behaviour</t>
  </si>
  <si>
    <t xml:space="preserve">+5-20</t>
  </si>
  <si>
    <t xml:space="preserve">Segmented collections, auto-dunning</t>
  </si>
  <si>
    <t xml:space="preserve">Manual Deductions</t>
  </si>
  <si>
    <t xml:space="preserve">+2-5</t>
  </si>
  <si>
    <t xml:space="preserve">Low</t>
  </si>
  <si>
    <t xml:space="preserve">Auto-deduction coding, approval workflow</t>
  </si>
  <si>
    <t xml:space="preserve">13-Week Rolling Cash Forecast</t>
  </si>
  <si>
    <t xml:space="preserve">Enter weekly forecasts. Blue = editable.</t>
  </si>
  <si>
    <t xml:space="preserve">Week</t>
  </si>
  <si>
    <t xml:space="preserve">Start Date</t>
  </si>
  <si>
    <t xml:space="preserve">Forecast Inflows</t>
  </si>
  <si>
    <t xml:space="preserve">Forecast Outflows</t>
  </si>
  <si>
    <t xml:space="preserve">Net</t>
  </si>
  <si>
    <t xml:space="preserve">Actual Inflows</t>
  </si>
  <si>
    <t xml:space="preserve">Actual Outflows</t>
  </si>
  <si>
    <t xml:space="preserve">Actual Net</t>
  </si>
  <si>
    <t xml:space="preserve">Variance Inflow</t>
  </si>
  <si>
    <t xml:space="preserve">Variance Outflow</t>
  </si>
  <si>
    <t xml:space="preserve">Variance Net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</si>
  <si>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</si>
  <si>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</si>
  <si>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</si>
  <si>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</si>
  <si>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</si>
  <si>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</si>
  <si>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</si>
  <si>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</si>
  <si>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</si>
  <si>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</si>
  <si>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</si>
  <si>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</si>
  <si>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</si>
  <si>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t xml:space="preserve">KPI Scorecard — Treasury &amp; Working Capital</t>
  </si>
  <si>
    <t xml:space="preserve">Blue = editable</t>
  </si>
  <si>
    <t xml:space="preserve">KPI</t>
  </si>
  <si>
    <t xml:space="preserve">Current</t>
  </si>
  <si>
    <t xml:space="preserve">Target</t>
  </si>
  <si>
    <t xml:space="preserve">Top</t>
  </si>
  <si>
    <t xml:space="preserve">Bottom</t>
  </si>
  <si>
    <t xml:space="preserve">Status</t>
  </si>
  <si>
    <t xml:space="preserve">APQC</t>
  </si>
  <si>
    <t xml:space="preserve">Definition</t>
  </si>
  <si>
    <t xml:space="preserve">8.3.3.4.5</t>
  </si>
  <si>
    <t xml:space="preserve">AR ÷ (Annual Revenue/365)</t>
  </si>
  <si>
    <t xml:space="preserve">Receipts ÷ (Beg AR + Credit Sales)</t>
  </si>
  <si>
    <t xml:space="preserve">DSO + DIO - DPO</t>
  </si>
  <si>
    <t xml:space="preserve">Deductions ÷ (Revenue/365)</t>
  </si>
  <si>
    <t xml:space="preserve">8.3.3.4.7</t>
  </si>
  <si>
    <t xml:space="preserve">Actual ÷ Forecast (absolute)</t>
  </si>
  <si>
    <t xml:space="preserve">8.3.1.2.7</t>
  </si>
  <si>
    <t xml:space="preserve">Write-off ÷ Revenue</t>
  </si>
  <si>
    <t xml:space="preserve">AR Turnover Ratio</t>
  </si>
  <si>
    <t xml:space="preserve">Revenue ÷ Avg AR</t>
  </si>
  <si>
    <t xml:space="preserve">8.3.3.4.6</t>
  </si>
  <si>
    <t xml:space="preserve">Discounts taken ÷ Revenue</t>
  </si>
  <si>
    <t xml:space="preserve">RAG status compares Current vs Target (direction-aware). Edit blue cells to update.</t>
  </si>
  <si>
    <t xml:space="preserve">Treasury &amp; WC Benchmarks</t>
  </si>
  <si>
    <t xml:space="preserve">APQC PCF v8.0 + Hackett 2026</t>
  </si>
  <si>
    <t xml:space="preserve">Source</t>
  </si>
  <si>
    <t xml:space="preserve">Hackett 2026</t>
  </si>
  <si>
    <t xml:space="preserve">APQC v8.0</t>
  </si>
  <si>
    <t xml:space="preserve">Owner</t>
  </si>
  <si>
    <t xml:space="preserve">Critical</t>
  </si>
  <si>
    <t xml:space="preserve">Not Started</t>
  </si>
  <si>
    <t xml:space="preserve">CFO</t>
  </si>
  <si>
    <t xml:space="preserve">In Progress</t>
  </si>
  <si>
    <t xml:space="preserve">Treasurer</t>
  </si>
  <si>
    <t xml:space="preserve">Complete</t>
  </si>
  <si>
    <t xml:space="preserve">AR Director</t>
  </si>
  <si>
    <t xml:space="preserve">On Hold</t>
  </si>
  <si>
    <t xml:space="preserve">Credit Manager</t>
  </si>
  <si>
    <t xml:space="preserve">Collections Manager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</si>
</sst>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\%"/>
    <numFmt numFmtId="167" formatCode="0.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C9A227"/>
      <name val="Arial"/>
      <family val="0"/>
      <charset val="1"/>
    </font>
    <font>
      <b val="true"/>
      <sz val="32"/>
      <color rgb="FFFFFFFF"/>
      <name val="Arial"/>
      <family val="0"/>
      <charset val="1"/>
    </font>
    <font>
      <b val="true"/>
      <sz val="32"/>
      <color rgb="FFE8D589"/>
      <name val="Arial"/>
      <family val="0"/>
      <charset val="1"/>
    </font>
    <font>
      <b val="true"/>
      <sz val="10"/>
      <color rgb="FFC9A227"/>
      <name val="Arial"/>
      <family val="0"/>
      <charset val="1"/>
    </font>
    <font>
      <sz val="10"/>
      <color rgb="FF8B949E"/>
      <name val="Arial"/>
      <family val="0"/>
      <charset val="1"/>
    </font>
    <font>
      <b val="true"/>
      <sz val="9"/>
      <color rgb="FFC9A22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D4ED8"/>
      <name val="Arial"/>
      <family val="0"/>
      <charset val="1"/>
    </font>
    <font>
      <sz val="10"/>
      <color rgb="FFE6EDF3"/>
      <name val="Arial"/>
      <family val="0"/>
      <charset val="1"/>
    </font>
    <font>
      <sz val="10"/>
      <color rgb="FFC9D1D9"/>
      <name val="Arial"/>
      <family val="0"/>
      <charset val="1"/>
    </font>
    <font>
      <sz val="9"/>
      <color rgb="FF8B949E"/>
      <name val="Arial"/>
      <family val="0"/>
      <charset val="1"/>
    </font>
    <font>
      <sz val="8"/>
      <color rgb="FF6E7681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9"/>
      <color rgb="FF1D4ED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E293B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sz val="8"/>
      <color rgb="FF64748B"/>
      <name val="Arial"/>
      <family val="0"/>
      <charset val="1"/>
    </font>
    <font>
      <i val="true"/>
      <sz val="8"/>
      <color rgb="FF64748B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1117"/>
        <bgColor rgb="FF161B22"/>
      </patternFill>
    </fill>
    <fill>
      <patternFill patternType="solid">
        <fgColor rgb="FFC9A227"/>
        <bgColor rgb="FF99CC00"/>
      </patternFill>
    </fill>
    <fill>
      <patternFill patternType="solid">
        <fgColor rgb="FF161B22"/>
        <bgColor rgb="FF0D1117"/>
      </patternFill>
    </fill>
    <fill>
      <patternFill patternType="solid">
        <fgColor rgb="FF0E7490"/>
        <bgColor rgb="FF047857"/>
      </patternFill>
    </fill>
    <fill>
      <patternFill patternType="solid">
        <fgColor rgb="FF0B5563"/>
        <bgColor rgb="FF334155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1F5F9"/>
      </patternFill>
    </fill>
    <fill>
      <patternFill patternType="solid">
        <fgColor rgb="FFEFF6FF"/>
        <bgColor rgb="FFF1F5F9"/>
      </patternFill>
    </fill>
    <fill>
      <patternFill patternType="solid">
        <fgColor rgb="FF334155"/>
        <bgColor rgb="FF1E293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medium">
        <color rgb="FF334155"/>
      </top>
      <bottom style="medium">
        <color rgb="FF3341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47857"/>
        <sz val="9"/>
      </font>
      <fill>
        <patternFill>
          <bgColor rgb="FFD1FAE5"/>
        </patternFill>
      </fill>
    </dxf>
    <dxf>
      <font>
        <name val="Arial"/>
        <charset val="1"/>
        <family val="0"/>
        <b val="1"/>
        <color rgb="FFB45309"/>
        <sz val="9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B91C1C"/>
        <sz val="9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E2E8F0"/>
      <rgbColor rgb="FF6E7681"/>
      <rgbColor rgb="FF9999FF"/>
      <rgbColor rgb="FFB45309"/>
      <rgbColor rgb="FFFEF3C7"/>
      <rgbColor rgb="FFE6EDF3"/>
      <rgbColor rgb="FF660066"/>
      <rgbColor rgb="FFFF8080"/>
      <rgbColor rgb="FF1D4ED8"/>
      <rgbColor rgb="FFC9D1D9"/>
      <rgbColor rgb="FF000080"/>
      <rgbColor rgb="FFFF00FF"/>
      <rgbColor rgb="FFFFFF00"/>
      <rgbColor rgb="FF00FFFF"/>
      <rgbColor rgb="FF800080"/>
      <rgbColor rgb="FF800000"/>
      <rgbColor rgb="FF047857"/>
      <rgbColor rgb="FF0000FF"/>
      <rgbColor rgb="FF00CCFF"/>
      <rgbColor rgb="FFEFF6FF"/>
      <rgbColor rgb="FFD1FAE5"/>
      <rgbColor rgb="FFFEE2E2"/>
      <rgbColor rgb="FFF1F5F9"/>
      <rgbColor rgb="FFFF99CC"/>
      <rgbColor rgb="FFCC99FF"/>
      <rgbColor rgb="FFE8D589"/>
      <rgbColor rgb="FF3366FF"/>
      <rgbColor rgb="FF33CCCC"/>
      <rgbColor rgb="FF99CC00"/>
      <rgbColor rgb="FFFFCC00"/>
      <rgbColor rgb="FFC9A227"/>
      <rgbColor rgb="FFFF6600"/>
      <rgbColor rgb="FF64748B"/>
      <rgbColor rgb="FF8B949E"/>
      <rgbColor rgb="FF0B5563"/>
      <rgbColor rgb="FF339966"/>
      <rgbColor rgb="FF161B22"/>
      <rgbColor rgb="FF0D1117"/>
      <rgbColor rgb="FFB91C1C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L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9" min="5" style="0" width="12"/>
    <col collapsed="false" customWidth="true" hidden="false" outlineLevel="0" max="10" min="10" style="0" width="6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.75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1"/>
      <c r="L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false" outlineLevel="0" collapsed="false">
      <c r="A4" s="1"/>
      <c r="B4" s="3" t="s">
        <v>0</v>
      </c>
      <c r="C4" s="3"/>
      <c r="D4" s="3"/>
      <c r="E4" s="3"/>
      <c r="F4" s="3"/>
      <c r="G4" s="3"/>
      <c r="H4" s="3"/>
      <c r="I4" s="3"/>
      <c r="J4" s="3"/>
      <c r="K4" s="1"/>
      <c r="L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42" hidden="false" customHeight="true" outlineLevel="0" collapsed="false">
      <c r="A6" s="1"/>
      <c r="B6" s="4" t="s">
        <v>1</v>
      </c>
      <c r="C6" s="4"/>
      <c r="D6" s="4"/>
      <c r="E6" s="4"/>
      <c r="F6" s="4"/>
      <c r="G6" s="4"/>
      <c r="H6" s="4"/>
      <c r="I6" s="4"/>
      <c r="J6" s="4"/>
      <c r="K6" s="1"/>
      <c r="L6" s="1"/>
    </row>
    <row r="7" customFormat="false" ht="42" hidden="false" customHeight="true" outlineLevel="0" collapsed="false">
      <c r="A7" s="1"/>
      <c r="B7" s="5" t="s">
        <v>2</v>
      </c>
      <c r="C7" s="5"/>
      <c r="D7" s="5"/>
      <c r="E7" s="5"/>
      <c r="F7" s="5"/>
      <c r="G7" s="5"/>
      <c r="H7" s="5"/>
      <c r="I7" s="5"/>
      <c r="J7" s="5"/>
      <c r="K7" s="1"/>
      <c r="L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customFormat="false" ht="15" hidden="false" customHeight="false" outlineLevel="0" collapsed="false">
      <c r="A9" s="1"/>
      <c r="B9" s="6" t="s">
        <v>3</v>
      </c>
      <c r="C9" s="6"/>
      <c r="D9" s="6"/>
      <c r="E9" s="6"/>
      <c r="F9" s="6"/>
      <c r="G9" s="6"/>
      <c r="H9" s="6"/>
      <c r="I9" s="6"/>
      <c r="J9" s="6"/>
      <c r="K9" s="1"/>
      <c r="L9" s="1"/>
    </row>
    <row r="10" customFormat="false" ht="15" hidden="false" customHeight="false" outlineLevel="0" collapsed="false">
      <c r="A10" s="1"/>
      <c r="B10" s="7" t="s">
        <v>4</v>
      </c>
      <c r="C10" s="7"/>
      <c r="D10" s="7"/>
      <c r="E10" s="7"/>
      <c r="F10" s="7"/>
      <c r="G10" s="7"/>
      <c r="H10" s="7"/>
      <c r="I10" s="7"/>
      <c r="J10" s="7"/>
      <c r="K10" s="1"/>
      <c r="L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customFormat="false" ht="21.75" hidden="false" customHeight="true" outlineLevel="0" collapsed="false">
      <c r="A12" s="1"/>
      <c r="B12" s="8" t="s">
        <v>5</v>
      </c>
      <c r="C12" s="8"/>
      <c r="D12" s="8"/>
      <c r="E12" s="8"/>
      <c r="F12" s="8"/>
      <c r="G12" s="8"/>
      <c r="H12" s="8"/>
      <c r="I12" s="8"/>
      <c r="J12" s="8"/>
      <c r="K12" s="1"/>
      <c r="L12" s="1"/>
    </row>
    <row r="13" customFormat="false" ht="19.5" hidden="false" customHeight="true" outlineLevel="0" collapsed="false">
      <c r="A13" s="1"/>
      <c r="B13" s="9" t="s">
        <v>6</v>
      </c>
      <c r="C13" s="10" t="s">
        <v>7</v>
      </c>
      <c r="D13" s="10"/>
      <c r="E13" s="10"/>
      <c r="F13" s="10"/>
      <c r="G13" s="10"/>
      <c r="H13" s="10"/>
      <c r="I13" s="10"/>
      <c r="J13" s="10"/>
      <c r="K13" s="1"/>
      <c r="L13" s="1"/>
    </row>
    <row r="14" customFormat="false" ht="19.5" hidden="false" customHeight="true" outlineLevel="0" collapsed="false">
      <c r="A14" s="1"/>
      <c r="B14" s="9" t="s">
        <v>8</v>
      </c>
      <c r="C14" s="10" t="s">
        <v>9</v>
      </c>
      <c r="D14" s="10"/>
      <c r="E14" s="10"/>
      <c r="F14" s="10"/>
      <c r="G14" s="10"/>
      <c r="H14" s="10"/>
      <c r="I14" s="10"/>
      <c r="J14" s="10"/>
      <c r="K14" s="1"/>
      <c r="L14" s="1"/>
    </row>
    <row r="15" customFormat="false" ht="19.5" hidden="false" customHeight="true" outlineLevel="0" collapsed="false">
      <c r="A15" s="1"/>
      <c r="B15" s="9" t="s">
        <v>10</v>
      </c>
      <c r="C15" s="10" t="s">
        <v>11</v>
      </c>
      <c r="D15" s="10"/>
      <c r="E15" s="10"/>
      <c r="F15" s="10"/>
      <c r="G15" s="10"/>
      <c r="H15" s="10"/>
      <c r="I15" s="10"/>
      <c r="J15" s="10"/>
      <c r="K15" s="1"/>
      <c r="L15" s="1"/>
    </row>
    <row r="16" customFormat="false" ht="19.5" hidden="false" customHeight="true" outlineLevel="0" collapsed="false">
      <c r="A16" s="1"/>
      <c r="B16" s="9" t="s">
        <v>12</v>
      </c>
      <c r="C16" s="11" t="s">
        <v>13</v>
      </c>
      <c r="D16" s="11"/>
      <c r="E16" s="11"/>
      <c r="F16" s="11"/>
      <c r="G16" s="11"/>
      <c r="H16" s="11"/>
      <c r="I16" s="11"/>
      <c r="J16" s="11"/>
      <c r="K16" s="1"/>
      <c r="L16" s="1"/>
    </row>
    <row r="17" customFormat="false" ht="19.5" hidden="false" customHeight="true" outlineLevel="0" collapsed="false">
      <c r="A17" s="1"/>
      <c r="B17" s="9" t="s">
        <v>14</v>
      </c>
      <c r="C17" s="11" t="s">
        <v>15</v>
      </c>
      <c r="D17" s="11"/>
      <c r="E17" s="11"/>
      <c r="F17" s="11"/>
      <c r="G17" s="11"/>
      <c r="H17" s="11"/>
      <c r="I17" s="11"/>
      <c r="J17" s="11"/>
      <c r="K17" s="1"/>
      <c r="L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21.75" hidden="false" customHeight="true" outlineLevel="0" collapsed="false">
      <c r="A19" s="1"/>
      <c r="B19" s="8" t="s">
        <v>16</v>
      </c>
      <c r="C19" s="8"/>
      <c r="D19" s="8"/>
      <c r="E19" s="8"/>
      <c r="F19" s="8"/>
      <c r="G19" s="8"/>
      <c r="H19" s="8"/>
      <c r="I19" s="8"/>
      <c r="J19" s="8"/>
      <c r="K19" s="1"/>
      <c r="L19" s="1"/>
    </row>
    <row r="20" customFormat="false" ht="15" hidden="false" customHeight="true" outlineLevel="0" collapsed="false">
      <c r="A20" s="1"/>
      <c r="B20" s="12" t="s">
        <v>17</v>
      </c>
      <c r="C20" s="12"/>
      <c r="D20" s="12"/>
      <c r="E20" s="12"/>
      <c r="F20" s="12"/>
      <c r="G20" s="12"/>
      <c r="H20" s="12"/>
      <c r="I20" s="12"/>
      <c r="J20" s="12"/>
      <c r="K20" s="1"/>
      <c r="L20" s="1"/>
    </row>
    <row r="21" customFormat="false" ht="15" hidden="false" customHeight="false" outlineLevel="0" collapsed="false">
      <c r="A21" s="1"/>
      <c r="B21" s="12"/>
      <c r="C21" s="12"/>
      <c r="D21" s="12"/>
      <c r="E21" s="12"/>
      <c r="F21" s="12"/>
      <c r="G21" s="12"/>
      <c r="H21" s="12"/>
      <c r="I21" s="12"/>
      <c r="J21" s="12"/>
      <c r="K21" s="1"/>
      <c r="L21" s="1"/>
    </row>
    <row r="22" customFormat="false" ht="15" hidden="false" customHeight="false" outlineLevel="0" collapsed="false">
      <c r="A22" s="1"/>
      <c r="B22" s="12"/>
      <c r="C22" s="12"/>
      <c r="D22" s="12"/>
      <c r="E22" s="12"/>
      <c r="F22" s="12"/>
      <c r="G22" s="12"/>
      <c r="H22" s="12"/>
      <c r="I22" s="12"/>
      <c r="J22" s="12"/>
      <c r="K22" s="1"/>
      <c r="L22" s="1"/>
    </row>
    <row r="23" customFormat="false" ht="15" hidden="false" customHeight="false" outlineLevel="0" collapsed="false">
      <c r="A23" s="1"/>
      <c r="B23" s="12"/>
      <c r="C23" s="12"/>
      <c r="D23" s="12"/>
      <c r="E23" s="12"/>
      <c r="F23" s="12"/>
      <c r="G23" s="12"/>
      <c r="H23" s="12"/>
      <c r="I23" s="12"/>
      <c r="J23" s="12"/>
      <c r="K23" s="1"/>
      <c r="L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21.75" hidden="false" customHeight="true" outlineLevel="0" collapsed="false">
      <c r="A25" s="1"/>
      <c r="B25" s="8" t="s">
        <v>18</v>
      </c>
      <c r="C25" s="8"/>
      <c r="D25" s="8"/>
      <c r="E25" s="8"/>
      <c r="F25" s="8"/>
      <c r="G25" s="8"/>
      <c r="H25" s="8"/>
      <c r="I25" s="8"/>
      <c r="J25" s="8"/>
      <c r="K25" s="1"/>
      <c r="L25" s="1"/>
    </row>
    <row r="26" customFormat="false" ht="18" hidden="false" customHeight="true" outlineLevel="0" collapsed="false">
      <c r="A26" s="1"/>
      <c r="B26" s="13" t="s">
        <v>19</v>
      </c>
      <c r="C26" s="14" t="s">
        <v>20</v>
      </c>
      <c r="D26" s="14"/>
      <c r="E26" s="15" t="s">
        <v>20</v>
      </c>
      <c r="F26" s="15"/>
      <c r="G26" s="15"/>
      <c r="H26" s="15"/>
      <c r="I26" s="15"/>
      <c r="J26" s="15"/>
      <c r="K26" s="1"/>
      <c r="L26" s="1"/>
    </row>
    <row r="27" customFormat="false" ht="18" hidden="false" customHeight="true" outlineLevel="0" collapsed="false">
      <c r="A27" s="1"/>
      <c r="B27" s="13" t="s">
        <v>21</v>
      </c>
      <c r="C27" s="14" t="s">
        <v>22</v>
      </c>
      <c r="D27" s="14"/>
      <c r="E27" s="15" t="s">
        <v>22</v>
      </c>
      <c r="F27" s="15"/>
      <c r="G27" s="15"/>
      <c r="H27" s="15"/>
      <c r="I27" s="15"/>
      <c r="J27" s="15"/>
      <c r="K27" s="1"/>
      <c r="L27" s="1"/>
    </row>
    <row r="28" customFormat="false" ht="18" hidden="false" customHeight="true" outlineLevel="0" collapsed="false">
      <c r="A28" s="1"/>
      <c r="B28" s="13" t="s">
        <v>23</v>
      </c>
      <c r="C28" s="14" t="s">
        <v>24</v>
      </c>
      <c r="D28" s="14"/>
      <c r="E28" s="15" t="s">
        <v>24</v>
      </c>
      <c r="F28" s="15"/>
      <c r="G28" s="15"/>
      <c r="H28" s="15"/>
      <c r="I28" s="15"/>
      <c r="J28" s="15"/>
      <c r="K28" s="1"/>
      <c r="L28" s="1"/>
    </row>
    <row r="29" customFormat="false" ht="18" hidden="false" customHeight="true" outlineLevel="0" collapsed="false">
      <c r="A29" s="1"/>
      <c r="B29" s="13" t="s">
        <v>25</v>
      </c>
      <c r="C29" s="14" t="s">
        <v>26</v>
      </c>
      <c r="D29" s="14"/>
      <c r="E29" s="15" t="s">
        <v>27</v>
      </c>
      <c r="F29" s="15"/>
      <c r="G29" s="15"/>
      <c r="H29" s="15"/>
      <c r="I29" s="15"/>
      <c r="J29" s="15"/>
      <c r="K29" s="1"/>
      <c r="L29" s="1"/>
    </row>
    <row r="30" customFormat="false" ht="18" hidden="false" customHeight="true" outlineLevel="0" collapsed="false">
      <c r="A30" s="1"/>
      <c r="B30" s="13" t="s">
        <v>28</v>
      </c>
      <c r="C30" s="14" t="s">
        <v>29</v>
      </c>
      <c r="D30" s="14"/>
      <c r="E30" s="15" t="s">
        <v>30</v>
      </c>
      <c r="F30" s="15"/>
      <c r="G30" s="15"/>
      <c r="H30" s="15"/>
      <c r="I30" s="15"/>
      <c r="J30" s="15"/>
      <c r="K30" s="1"/>
      <c r="L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customFormat="false" ht="15" hidden="false" customHeight="false" outlineLevel="0" collapsed="false">
      <c r="A32" s="1"/>
      <c r="B32" s="16" t="s">
        <v>31</v>
      </c>
      <c r="C32" s="16"/>
      <c r="D32" s="16"/>
      <c r="E32" s="16"/>
      <c r="F32" s="16"/>
      <c r="G32" s="16"/>
      <c r="H32" s="16"/>
      <c r="I32" s="16"/>
      <c r="J32" s="16"/>
      <c r="K32" s="1"/>
      <c r="L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mergeCells count="26">
    <mergeCell ref="B2:J2"/>
    <mergeCell ref="B4:J4"/>
    <mergeCell ref="B6:J6"/>
    <mergeCell ref="B7:J7"/>
    <mergeCell ref="B9:J9"/>
    <mergeCell ref="B10:J10"/>
    <mergeCell ref="B12:J12"/>
    <mergeCell ref="C13:J13"/>
    <mergeCell ref="C14:J14"/>
    <mergeCell ref="C15:J15"/>
    <mergeCell ref="C16:J16"/>
    <mergeCell ref="C17:J17"/>
    <mergeCell ref="B19:J19"/>
    <mergeCell ref="B20:J23"/>
    <mergeCell ref="B25:J25"/>
    <mergeCell ref="C26:D26"/>
    <mergeCell ref="E26:J26"/>
    <mergeCell ref="C27:D27"/>
    <mergeCell ref="E27:J27"/>
    <mergeCell ref="C28:D28"/>
    <mergeCell ref="E28:J28"/>
    <mergeCell ref="C29:D29"/>
    <mergeCell ref="E29:J29"/>
    <mergeCell ref="C30:D30"/>
    <mergeCell ref="E30:J30"/>
    <mergeCell ref="B32:J3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64"/>
    <col collapsed="false" customWidth="true" hidden="false" outlineLevel="0" max="4" min="4" style="0" width="4"/>
  </cols>
  <sheetData>
    <row r="2" customFormat="false" ht="30" hidden="false" customHeight="true" outlineLevel="0" collapsed="false">
      <c r="B2" s="17" t="s">
        <v>32</v>
      </c>
      <c r="C2" s="17"/>
    </row>
    <row r="3" customFormat="false" ht="15.75" hidden="false" customHeight="true" outlineLevel="0" collapsed="false">
      <c r="B3" s="18" t="s">
        <v>33</v>
      </c>
      <c r="C3" s="18"/>
    </row>
    <row r="5" customFormat="false" ht="21.75" hidden="false" customHeight="true" outlineLevel="0" collapsed="false">
      <c r="B5" s="19" t="s">
        <v>34</v>
      </c>
      <c r="C5" s="20" t="s">
        <v>35</v>
      </c>
    </row>
    <row r="6" customFormat="false" ht="30" hidden="false" customHeight="true" outlineLevel="0" collapsed="false">
      <c r="B6" s="21"/>
      <c r="C6" s="22" t="s">
        <v>36</v>
      </c>
    </row>
    <row r="7" customFormat="false" ht="21.75" hidden="false" customHeight="true" outlineLevel="0" collapsed="false">
      <c r="B7" s="19" t="s">
        <v>37</v>
      </c>
      <c r="C7" s="20" t="s">
        <v>38</v>
      </c>
    </row>
    <row r="8" customFormat="false" ht="30" hidden="false" customHeight="true" outlineLevel="0" collapsed="false">
      <c r="B8" s="21"/>
      <c r="C8" s="22" t="s">
        <v>39</v>
      </c>
    </row>
    <row r="9" customFormat="false" ht="21.75" hidden="false" customHeight="true" outlineLevel="0" collapsed="false">
      <c r="B9" s="19" t="s">
        <v>40</v>
      </c>
      <c r="C9" s="20" t="s">
        <v>41</v>
      </c>
    </row>
    <row r="10" customFormat="false" ht="30" hidden="false" customHeight="true" outlineLevel="0" collapsed="false">
      <c r="B10" s="21"/>
      <c r="C10" s="22" t="s">
        <v>42</v>
      </c>
    </row>
    <row r="11" customFormat="false" ht="21.75" hidden="false" customHeight="true" outlineLevel="0" collapsed="false">
      <c r="B11" s="19" t="s">
        <v>43</v>
      </c>
      <c r="C11" s="20" t="s">
        <v>44</v>
      </c>
    </row>
    <row r="12" customFormat="false" ht="30" hidden="false" customHeight="true" outlineLevel="0" collapsed="false">
      <c r="B12" s="21"/>
      <c r="C12" s="22" t="s">
        <v>45</v>
      </c>
    </row>
    <row r="14" customFormat="false" ht="24" hidden="false" customHeight="true" outlineLevel="0" collapsed="false">
      <c r="B14" s="23" t="s">
        <v>46</v>
      </c>
      <c r="C14" s="23"/>
    </row>
  </sheetData>
  <mergeCells count="3">
    <mergeCell ref="B2:C2"/>
    <mergeCell ref="B3:C3"/>
    <mergeCell ref="B14:C14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7"/>
  </cols>
  <sheetData>
    <row r="2" customFormat="false" ht="30" hidden="false" customHeight="true" outlineLevel="0" collapsed="false">
      <c r="B2" s="17" t="s">
        <v>47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48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49</v>
      </c>
      <c r="C5" s="24" t="s">
        <v>50</v>
      </c>
      <c r="D5" s="24" t="s">
        <v>51</v>
      </c>
      <c r="E5" s="24" t="s">
        <v>52</v>
      </c>
      <c r="F5" s="24" t="s">
        <v>53</v>
      </c>
      <c r="G5" s="24" t="s">
        <v>54</v>
      </c>
    </row>
    <row r="6" customFormat="false" ht="27.75" hidden="false" customHeight="true" outlineLevel="0" collapsed="false">
      <c r="B6" s="25" t="s">
        <v>55</v>
      </c>
      <c r="C6" s="26" t="s">
        <v>56</v>
      </c>
      <c r="D6" s="26" t="s">
        <v>57</v>
      </c>
      <c r="E6" s="26" t="n">
        <v>28</v>
      </c>
      <c r="F6" s="26" t="n">
        <v>38</v>
      </c>
      <c r="G6" s="26" t="n">
        <v>52</v>
      </c>
    </row>
    <row r="7" customFormat="false" ht="27.75" hidden="false" customHeight="true" outlineLevel="0" collapsed="false">
      <c r="B7" s="27" t="s">
        <v>58</v>
      </c>
      <c r="C7" s="28" t="s">
        <v>59</v>
      </c>
      <c r="D7" s="28" t="s">
        <v>60</v>
      </c>
      <c r="E7" s="28" t="n">
        <v>7</v>
      </c>
      <c r="F7" s="28" t="n">
        <v>14</v>
      </c>
      <c r="G7" s="28" t="n">
        <v>25</v>
      </c>
    </row>
    <row r="8" customFormat="false" ht="27.75" hidden="false" customHeight="true" outlineLevel="0" collapsed="false">
      <c r="B8" s="25" t="s">
        <v>61</v>
      </c>
      <c r="C8" s="26" t="s">
        <v>62</v>
      </c>
      <c r="D8" s="26" t="s">
        <v>63</v>
      </c>
      <c r="E8" s="26" t="n">
        <v>95</v>
      </c>
      <c r="F8" s="26" t="n">
        <v>85</v>
      </c>
      <c r="G8" s="26" t="n">
        <v>70</v>
      </c>
    </row>
    <row r="9" customFormat="false" ht="27.75" hidden="false" customHeight="true" outlineLevel="0" collapsed="false">
      <c r="B9" s="27" t="s">
        <v>64</v>
      </c>
      <c r="C9" s="28" t="s">
        <v>65</v>
      </c>
      <c r="D9" s="28" t="s">
        <v>66</v>
      </c>
      <c r="E9" s="28" t="n">
        <v>65</v>
      </c>
      <c r="F9" s="28" t="n">
        <v>52</v>
      </c>
      <c r="G9" s="28" t="n">
        <v>40</v>
      </c>
    </row>
    <row r="10" customFormat="false" ht="27.75" hidden="false" customHeight="true" outlineLevel="0" collapsed="false">
      <c r="B10" s="25" t="s">
        <v>67</v>
      </c>
      <c r="C10" s="26" t="s">
        <v>68</v>
      </c>
      <c r="D10" s="26" t="s">
        <v>69</v>
      </c>
      <c r="E10" s="26" t="n">
        <v>18</v>
      </c>
      <c r="F10" s="26" t="n">
        <v>30</v>
      </c>
      <c r="G10" s="26" t="n">
        <v>48</v>
      </c>
    </row>
    <row r="11" customFormat="false" ht="27.75" hidden="false" customHeight="true" outlineLevel="0" collapsed="false">
      <c r="B11" s="27" t="s">
        <v>70</v>
      </c>
      <c r="C11" s="28" t="s">
        <v>71</v>
      </c>
      <c r="D11" s="28" t="s">
        <v>72</v>
      </c>
      <c r="E11" s="28" t="n">
        <v>12.5</v>
      </c>
      <c r="F11" s="28" t="n">
        <v>9.6</v>
      </c>
      <c r="G11" s="28" t="n">
        <v>6.8</v>
      </c>
    </row>
    <row r="12" customFormat="false" ht="27.75" hidden="false" customHeight="true" outlineLevel="0" collapsed="false">
      <c r="B12" s="25" t="s">
        <v>73</v>
      </c>
      <c r="C12" s="26" t="s">
        <v>74</v>
      </c>
      <c r="D12" s="26" t="s">
        <v>75</v>
      </c>
      <c r="E12" s="26" t="n">
        <v>0.5</v>
      </c>
      <c r="F12" s="26" t="n">
        <v>1.5</v>
      </c>
      <c r="G12" s="26" t="n">
        <v>3.5</v>
      </c>
    </row>
    <row r="13" customFormat="false" ht="27.75" hidden="false" customHeight="true" outlineLevel="0" collapsed="false">
      <c r="B13" s="27" t="s">
        <v>76</v>
      </c>
      <c r="C13" s="28" t="s">
        <v>77</v>
      </c>
      <c r="D13" s="28" t="s">
        <v>78</v>
      </c>
      <c r="E13" s="28" t="n">
        <v>95</v>
      </c>
      <c r="F13" s="28" t="n">
        <v>82</v>
      </c>
      <c r="G13" s="28" t="n">
        <v>65</v>
      </c>
    </row>
    <row r="14" customFormat="false" ht="27.75" hidden="false" customHeight="true" outlineLevel="0" collapsed="false">
      <c r="B14" s="25" t="s">
        <v>79</v>
      </c>
      <c r="C14" s="26" t="s">
        <v>80</v>
      </c>
      <c r="D14" s="26" t="s">
        <v>81</v>
      </c>
      <c r="E14" s="26" t="n">
        <v>28</v>
      </c>
      <c r="F14" s="26" t="n">
        <v>42</v>
      </c>
      <c r="G14" s="26" t="n">
        <v>55</v>
      </c>
    </row>
    <row r="15" customFormat="false" ht="27.75" hidden="false" customHeight="true" outlineLevel="0" collapsed="false">
      <c r="B15" s="27" t="s">
        <v>82</v>
      </c>
      <c r="C15" s="28" t="s">
        <v>75</v>
      </c>
      <c r="D15" s="28" t="s">
        <v>83</v>
      </c>
      <c r="E15" s="28" t="n">
        <v>0.3</v>
      </c>
      <c r="F15" s="28" t="n">
        <v>0.8</v>
      </c>
      <c r="G15" s="28" t="n">
        <v>1.8</v>
      </c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5"/>
    <col collapsed="false" customWidth="true" hidden="false" outlineLevel="0" max="5" min="4" style="0" width="12"/>
    <col collapsed="false" customWidth="true" hidden="false" outlineLevel="0" max="6" min="6" style="0" width="42"/>
  </cols>
  <sheetData>
    <row r="2" customFormat="false" ht="30" hidden="false" customHeight="true" outlineLevel="0" collapsed="false">
      <c r="B2" s="17" t="s">
        <v>84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85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86</v>
      </c>
      <c r="C5" s="24" t="s">
        <v>87</v>
      </c>
      <c r="D5" s="24" t="s">
        <v>88</v>
      </c>
      <c r="E5" s="24" t="s">
        <v>89</v>
      </c>
      <c r="F5" s="24" t="s">
        <v>90</v>
      </c>
    </row>
    <row r="6" customFormat="false" ht="27.75" hidden="false" customHeight="true" outlineLevel="0" collapsed="false">
      <c r="B6" s="25" t="s">
        <v>91</v>
      </c>
      <c r="C6" s="26" t="s">
        <v>92</v>
      </c>
      <c r="D6" s="26" t="n">
        <v>25</v>
      </c>
      <c r="E6" s="26" t="s">
        <v>93</v>
      </c>
      <c r="F6" s="26" t="s">
        <v>94</v>
      </c>
    </row>
    <row r="7" customFormat="false" ht="27.75" hidden="false" customHeight="true" outlineLevel="0" collapsed="false">
      <c r="B7" s="27" t="s">
        <v>95</v>
      </c>
      <c r="C7" s="28" t="s">
        <v>96</v>
      </c>
      <c r="D7" s="28" t="n">
        <v>30</v>
      </c>
      <c r="E7" s="28" t="s">
        <v>93</v>
      </c>
      <c r="F7" s="28" t="s">
        <v>97</v>
      </c>
    </row>
    <row r="8" customFormat="false" ht="27.75" hidden="false" customHeight="true" outlineLevel="0" collapsed="false">
      <c r="B8" s="25" t="s">
        <v>98</v>
      </c>
      <c r="C8" s="26" t="s">
        <v>99</v>
      </c>
      <c r="D8" s="26" t="n">
        <v>15</v>
      </c>
      <c r="E8" s="26" t="s">
        <v>93</v>
      </c>
      <c r="F8" s="26" t="s">
        <v>100</v>
      </c>
    </row>
    <row r="9" customFormat="false" ht="27.75" hidden="false" customHeight="true" outlineLevel="0" collapsed="false">
      <c r="B9" s="27" t="s">
        <v>101</v>
      </c>
      <c r="C9" s="28" t="s">
        <v>102</v>
      </c>
      <c r="D9" s="28" t="n">
        <v>10</v>
      </c>
      <c r="E9" s="28" t="s">
        <v>103</v>
      </c>
      <c r="F9" s="28" t="s">
        <v>104</v>
      </c>
    </row>
    <row r="10" customFormat="false" ht="27.75" hidden="false" customHeight="true" outlineLevel="0" collapsed="false">
      <c r="B10" s="25" t="s">
        <v>105</v>
      </c>
      <c r="C10" s="26" t="s">
        <v>106</v>
      </c>
      <c r="D10" s="26" t="n">
        <v>15</v>
      </c>
      <c r="E10" s="26" t="s">
        <v>103</v>
      </c>
      <c r="F10" s="26" t="s">
        <v>107</v>
      </c>
    </row>
    <row r="11" customFormat="false" ht="27.75" hidden="false" customHeight="true" outlineLevel="0" collapsed="false">
      <c r="B11" s="27" t="s">
        <v>108</v>
      </c>
      <c r="C11" s="28" t="s">
        <v>109</v>
      </c>
      <c r="D11" s="28" t="n">
        <v>5</v>
      </c>
      <c r="E11" s="28" t="s">
        <v>110</v>
      </c>
      <c r="F11" s="28" t="s">
        <v>111</v>
      </c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9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9" min="9" style="0" width="24"/>
    <col collapsed="false" customWidth="true" hidden="false" outlineLevel="0" max="12" min="10" style="0" width="38"/>
  </cols>
  <sheetData>
    <row r="2" customFormat="false" ht="30" hidden="false" customHeight="true" outlineLevel="0" collapsed="false">
      <c r="B2" s="17" t="s">
        <v>112</v>
      </c>
      <c r="C2" s="17"/>
      <c r="D2" s="17"/>
      <c r="E2" s="17"/>
      <c r="F2" s="17"/>
      <c r="G2" s="17"/>
      <c r="H2" s="17"/>
      <c r="I2" s="17"/>
      <c r="J2" s="17"/>
      <c r="K2" s="17"/>
      <c r="L2" s="17"/>
    </row>
    <row r="3" customFormat="false" ht="15.75" hidden="false" customHeight="true" outlineLevel="0" collapsed="false">
      <c r="B3" s="18" t="s">
        <v>113</v>
      </c>
      <c r="C3" s="18"/>
      <c r="D3" s="18"/>
      <c r="E3" s="18"/>
      <c r="F3" s="18"/>
      <c r="G3" s="18"/>
      <c r="H3" s="18"/>
      <c r="I3" s="18"/>
      <c r="J3" s="18"/>
      <c r="K3" s="18"/>
      <c r="L3" s="18"/>
    </row>
    <row r="5" customFormat="false" ht="25.5" hidden="false" customHeight="true" outlineLevel="0" collapsed="false">
      <c r="B5" s="24" t="s">
        <v>114</v>
      </c>
      <c r="C5" s="24" t="s">
        <v>115</v>
      </c>
      <c r="D5" s="24" t="s">
        <v>116</v>
      </c>
      <c r="E5" s="24" t="s">
        <v>117</v>
      </c>
      <c r="F5" s="24" t="s">
        <v>118</v>
      </c>
      <c r="G5" s="24" t="s">
        <v>119</v>
      </c>
      <c r="H5" s="24" t="s">
        <v>120</v>
      </c>
      <c r="I5" s="24" t="s">
        <v>121</v>
      </c>
      <c r="J5" s="24" t="s">
        <v>122</v>
      </c>
      <c r="K5" s="24" t="s">
        <v>123</v>
      </c>
      <c r="L5" s="24" t="s">
        <v>124</v>
      </c>
    </row>
    <row r="6" customFormat="false" ht="27.75" hidden="false" customHeight="true" outlineLevel="0" collapsed="false">
      <c r="B6" s="25" t="s">
        <v>125</v>
      </c>
      <c r="C6" s="26"/>
      <c r="D6" s="26"/>
      <c r="E6" s="26"/>
      <c r="F6" s="26" t="str">
        <f aca="false">IF(D6="","",D6-E6)</f>
        <v/>
      </c>
      <c r="G6" s="26"/>
      <c r="H6" s="26"/>
      <c r="I6" s="26" t="str">
        <f aca="false">IF(G6="","",G6-H6)</f>
        <v/>
      </c>
      <c r="J6" s="26" t="str">
        <f aca="false">IF(AND(D6&lt;&gt;"",G6&lt;&gt;""),G6-D6,"")</f>
        <v/>
      </c>
      <c r="K6" s="26" t="str">
        <f aca="false">IF(AND(E6&lt;&gt;"",H6&lt;&gt;""),H6-E6,"")</f>
        <v/>
      </c>
      <c r="L6" s="26" t="str">
        <f aca="false">IF(AND(F6&lt;&gt;"",I6&lt;&gt;""),I6-F6,"")</f>
        <v/>
      </c>
    </row>
    <row r="7" customFormat="false" ht="27.75" hidden="false" customHeight="true" outlineLevel="0" collapsed="false">
      <c r="B7" s="27" t="s">
        <v>126</v>
      </c>
      <c r="C7" s="28"/>
      <c r="D7" s="28"/>
      <c r="E7" s="28"/>
      <c r="F7" s="28" t="str">
        <f aca="false">IF(D7="","",D7-E7)</f>
        <v/>
      </c>
      <c r="G7" s="28"/>
      <c r="H7" s="28"/>
      <c r="I7" s="28" t="str">
        <f aca="false">IF(G7="","",G7-H7)</f>
        <v/>
      </c>
      <c r="J7" s="28" t="str">
        <f aca="false">IF(AND(D7&lt;&gt;"",G7&lt;&gt;""),G7-D7,"")</f>
        <v/>
      </c>
      <c r="K7" s="28" t="str">
        <f aca="false">IF(AND(E7&lt;&gt;"",H7&lt;&gt;""),H7-E7,"")</f>
        <v/>
      </c>
      <c r="L7" s="28" t="str">
        <f aca="false">IF(AND(F7&lt;&gt;"",I7&lt;&gt;""),I7-F7,"")</f>
        <v/>
      </c>
    </row>
    <row r="8" customFormat="false" ht="27.75" hidden="false" customHeight="true" outlineLevel="0" collapsed="false">
      <c r="B8" s="25" t="s">
        <v>127</v>
      </c>
      <c r="C8" s="26"/>
      <c r="D8" s="26"/>
      <c r="E8" s="26"/>
      <c r="F8" s="26" t="str">
        <f aca="false">IF(D8="","",D8-E8)</f>
        <v/>
      </c>
      <c r="G8" s="26"/>
      <c r="H8" s="26"/>
      <c r="I8" s="26" t="str">
        <f aca="false">IF(G8="","",G8-H8)</f>
        <v/>
      </c>
      <c r="J8" s="26" t="str">
        <f aca="false">IF(AND(D8&lt;&gt;"",G8&lt;&gt;""),G8-D8,"")</f>
        <v/>
      </c>
      <c r="K8" s="26" t="str">
        <f aca="false">IF(AND(E8&lt;&gt;"",H8&lt;&gt;""),H8-E8,"")</f>
        <v/>
      </c>
      <c r="L8" s="26" t="str">
        <f aca="false">IF(AND(F8&lt;&gt;"",I8&lt;&gt;""),I8-F8,"")</f>
        <v/>
      </c>
    </row>
    <row r="9" customFormat="false" ht="27.75" hidden="false" customHeight="true" outlineLevel="0" collapsed="false">
      <c r="B9" s="27" t="s">
        <v>128</v>
      </c>
      <c r="C9" s="28"/>
      <c r="D9" s="28"/>
      <c r="E9" s="28"/>
      <c r="F9" s="28" t="str">
        <f aca="false">IF(D9="","",D9-E9)</f>
        <v/>
      </c>
      <c r="G9" s="28"/>
      <c r="H9" s="28"/>
      <c r="I9" s="28" t="str">
        <f aca="false">IF(G9="","",G9-H9)</f>
        <v/>
      </c>
      <c r="J9" s="28" t="str">
        <f aca="false">IF(AND(D9&lt;&gt;"",G9&lt;&gt;""),G9-D9,"")</f>
        <v/>
      </c>
      <c r="K9" s="28" t="str">
        <f aca="false">IF(AND(E9&lt;&gt;"",H9&lt;&gt;""),H9-E9,"")</f>
        <v/>
      </c>
      <c r="L9" s="28" t="str">
        <f aca="false">IF(AND(F9&lt;&gt;"",I9&lt;&gt;""),I9-F9,"")</f>
        <v/>
      </c>
    </row>
    <row r="10" customFormat="false" ht="27.75" hidden="false" customHeight="true" outlineLevel="0" collapsed="false">
      <c r="B10" s="25" t="s">
        <v>129</v>
      </c>
      <c r="C10" s="26"/>
      <c r="D10" s="26"/>
      <c r="E10" s="26"/>
      <c r="F10" s="26" t="str">
        <f aca="false">IF(D10="","",D10-E10)</f>
        <v/>
      </c>
      <c r="G10" s="26"/>
      <c r="H10" s="26"/>
      <c r="I10" s="26" t="str">
        <f aca="false">IF(G10="","",G10-H10)</f>
        <v/>
      </c>
      <c r="J10" s="26" t="str">
        <f aca="false">IF(AND(D10&lt;&gt;"",G10&lt;&gt;""),G10-D10,"")</f>
        <v/>
      </c>
      <c r="K10" s="26" t="str">
        <f aca="false">IF(AND(E10&lt;&gt;"",H10&lt;&gt;""),H10-E10,"")</f>
        <v/>
      </c>
      <c r="L10" s="26" t="str">
        <f aca="false">IF(AND(F10&lt;&gt;"",I10&lt;&gt;""),I10-F10,"")</f>
        <v/>
      </c>
    </row>
    <row r="11" customFormat="false" ht="27.75" hidden="false" customHeight="true" outlineLevel="0" collapsed="false">
      <c r="B11" s="27" t="s">
        <v>130</v>
      </c>
      <c r="C11" s="28"/>
      <c r="D11" s="28"/>
      <c r="E11" s="28"/>
      <c r="F11" s="28" t="str">
        <f aca="false">IF(D11="","",D11-E11)</f>
        <v/>
      </c>
      <c r="G11" s="28"/>
      <c r="H11" s="28"/>
      <c r="I11" s="28" t="str">
        <f aca="false">IF(G11="","",G11-H11)</f>
        <v/>
      </c>
      <c r="J11" s="28" t="str">
        <f aca="false">IF(AND(D11&lt;&gt;"",G11&lt;&gt;""),G11-D11,"")</f>
        <v/>
      </c>
      <c r="K11" s="28" t="str">
        <f aca="false">IF(AND(E11&lt;&gt;"",H11&lt;&gt;""),H11-E11,"")</f>
        <v/>
      </c>
      <c r="L11" s="28" t="str">
        <f aca="false">IF(AND(F11&lt;&gt;"",I11&lt;&gt;""),I11-F11,"")</f>
        <v/>
      </c>
    </row>
    <row r="12" customFormat="false" ht="27.75" hidden="false" customHeight="true" outlineLevel="0" collapsed="false">
      <c r="B12" s="25" t="s">
        <v>131</v>
      </c>
      <c r="C12" s="26"/>
      <c r="D12" s="26"/>
      <c r="E12" s="26"/>
      <c r="F12" s="26" t="str">
        <f aca="false">IF(D12="","",D12-E12)</f>
        <v/>
      </c>
      <c r="G12" s="26"/>
      <c r="H12" s="26"/>
      <c r="I12" s="26" t="str">
        <f aca="false">IF(G12="","",G12-H12)</f>
        <v/>
      </c>
      <c r="J12" s="26" t="str">
        <f aca="false">IF(AND(D12&lt;&gt;"",G12&lt;&gt;""),G12-D12,"")</f>
        <v/>
      </c>
      <c r="K12" s="26" t="str">
        <f aca="false">IF(AND(E12&lt;&gt;"",H12&lt;&gt;""),H12-E12,"")</f>
        <v/>
      </c>
      <c r="L12" s="26" t="str">
        <f aca="false">IF(AND(F12&lt;&gt;"",I12&lt;&gt;""),I12-F12,"")</f>
        <v/>
      </c>
    </row>
    <row r="13" customFormat="false" ht="27.75" hidden="false" customHeight="true" outlineLevel="0" collapsed="false">
      <c r="B13" s="27" t="s">
        <v>132</v>
      </c>
      <c r="C13" s="28"/>
      <c r="D13" s="28"/>
      <c r="E13" s="28"/>
      <c r="F13" s="28" t="str">
        <f aca="false">IF(D13="","",D13-E13)</f>
        <v/>
      </c>
      <c r="G13" s="28"/>
      <c r="H13" s="28"/>
      <c r="I13" s="28" t="str">
        <f aca="false">IF(G13="","",G13-H13)</f>
        <v/>
      </c>
      <c r="J13" s="28" t="str">
        <f aca="false">IF(AND(D13&lt;&gt;"",G13&lt;&gt;""),G13-D13,"")</f>
        <v/>
      </c>
      <c r="K13" s="28" t="str">
        <f aca="false">IF(AND(E13&lt;&gt;"",H13&lt;&gt;""),H13-E13,"")</f>
        <v/>
      </c>
      <c r="L13" s="28" t="str">
        <f aca="false">IF(AND(F13&lt;&gt;"",I13&lt;&gt;""),I13-F13,"")</f>
        <v/>
      </c>
    </row>
    <row r="14" customFormat="false" ht="27.75" hidden="false" customHeight="true" outlineLevel="0" collapsed="false">
      <c r="B14" s="25" t="s">
        <v>133</v>
      </c>
      <c r="C14" s="26"/>
      <c r="D14" s="26"/>
      <c r="E14" s="26"/>
      <c r="F14" s="26" t="str">
        <f aca="false">IF(D14="","",D14-E14)</f>
        <v/>
      </c>
      <c r="G14" s="26"/>
      <c r="H14" s="26"/>
      <c r="I14" s="26" t="str">
        <f aca="false">IF(G14="","",G14-H14)</f>
        <v/>
      </c>
      <c r="J14" s="26" t="str">
        <f aca="false">IF(AND(D14&lt;&gt;"",G14&lt;&gt;""),G14-D14,"")</f>
        <v/>
      </c>
      <c r="K14" s="26" t="str">
        <f aca="false">IF(AND(E14&lt;&gt;"",H14&lt;&gt;""),H14-E14,"")</f>
        <v/>
      </c>
      <c r="L14" s="26" t="str">
        <f aca="false">IF(AND(F14&lt;&gt;"",I14&lt;&gt;""),I14-F14,"")</f>
        <v/>
      </c>
    </row>
    <row r="15" customFormat="false" ht="27.75" hidden="false" customHeight="true" outlineLevel="0" collapsed="false">
      <c r="B15" s="27" t="s">
        <v>134</v>
      </c>
      <c r="C15" s="28"/>
      <c r="D15" s="28"/>
      <c r="E15" s="28"/>
      <c r="F15" s="28" t="str">
        <f aca="false">IF(D15="","",D15-E15)</f>
        <v/>
      </c>
      <c r="G15" s="28"/>
      <c r="H15" s="28"/>
      <c r="I15" s="28" t="str">
        <f aca="false">IF(G15="","",G15-H15)</f>
        <v/>
      </c>
      <c r="J15" s="28" t="str">
        <f aca="false">IF(AND(D15&lt;&gt;"",G15&lt;&gt;""),G15-D15,"")</f>
        <v/>
      </c>
      <c r="K15" s="28" t="str">
        <f aca="false">IF(AND(E15&lt;&gt;"",H15&lt;&gt;""),H15-E15,"")</f>
        <v/>
      </c>
      <c r="L15" s="28" t="str">
        <f aca="false">IF(AND(F15&lt;&gt;"",I15&lt;&gt;""),I15-F15,"")</f>
        <v/>
      </c>
    </row>
    <row r="16" customFormat="false" ht="27.75" hidden="false" customHeight="true" outlineLevel="0" collapsed="false">
      <c r="B16" s="25" t="s">
        <v>135</v>
      </c>
      <c r="C16" s="26"/>
      <c r="D16" s="26"/>
      <c r="E16" s="26"/>
      <c r="F16" s="26" t="str">
        <f aca="false">IF(D16="","",D16-E16)</f>
        <v/>
      </c>
      <c r="G16" s="26"/>
      <c r="H16" s="26"/>
      <c r="I16" s="26" t="str">
        <f aca="false">IF(G16="","",G16-H16)</f>
        <v/>
      </c>
      <c r="J16" s="26" t="str">
        <f aca="false">IF(AND(D16&lt;&gt;"",G16&lt;&gt;""),G16-D16,"")</f>
        <v/>
      </c>
      <c r="K16" s="26" t="str">
        <f aca="false">IF(AND(E16&lt;&gt;"",H16&lt;&gt;""),H16-E16,"")</f>
        <v/>
      </c>
      <c r="L16" s="26" t="str">
        <f aca="false">IF(AND(F16&lt;&gt;"",I16&lt;&gt;""),I16-F16,"")</f>
        <v/>
      </c>
    </row>
    <row r="17" customFormat="false" ht="27.75" hidden="false" customHeight="true" outlineLevel="0" collapsed="false">
      <c r="B17" s="27" t="s">
        <v>136</v>
      </c>
      <c r="C17" s="28"/>
      <c r="D17" s="28"/>
      <c r="E17" s="28"/>
      <c r="F17" s="28" t="str">
        <f aca="false">IF(D17="","",D17-E17)</f>
        <v/>
      </c>
      <c r="G17" s="28"/>
      <c r="H17" s="28"/>
      <c r="I17" s="28" t="str">
        <f aca="false">IF(G17="","",G17-H17)</f>
        <v/>
      </c>
      <c r="J17" s="28" t="str">
        <f aca="false">IF(AND(D17&lt;&gt;"",G17&lt;&gt;""),G17-D17,"")</f>
        <v/>
      </c>
      <c r="K17" s="28" t="str">
        <f aca="false">IF(AND(E17&lt;&gt;"",H17&lt;&gt;""),H17-E17,"")</f>
        <v/>
      </c>
      <c r="L17" s="28" t="str">
        <f aca="false">IF(AND(F17&lt;&gt;"",I17&lt;&gt;""),I17-F17,"")</f>
        <v/>
      </c>
    </row>
    <row r="18" customFormat="false" ht="27.75" hidden="false" customHeight="true" outlineLevel="0" collapsed="false">
      <c r="B18" s="25" t="s">
        <v>137</v>
      </c>
      <c r="C18" s="26"/>
      <c r="D18" s="26"/>
      <c r="E18" s="26"/>
      <c r="F18" s="26" t="str">
        <f aca="false">IF(D18="","",D18-E18)</f>
        <v/>
      </c>
      <c r="G18" s="26"/>
      <c r="H18" s="26"/>
      <c r="I18" s="26" t="str">
        <f aca="false">IF(G18="","",G18-H18)</f>
        <v/>
      </c>
      <c r="J18" s="26" t="str">
        <f aca="false">IF(AND(D18&lt;&gt;"",G18&lt;&gt;""),G18-D18,"")</f>
        <v/>
      </c>
      <c r="K18" s="26" t="str">
        <f aca="false">IF(AND(E18&lt;&gt;"",H18&lt;&gt;""),H18-E18,"")</f>
        <v/>
      </c>
      <c r="L18" s="26" t="str">
        <f aca="false">IF(AND(F18&lt;&gt;"",I18&lt;&gt;""),I18-F18,"")</f>
        <v/>
      </c>
    </row>
  </sheetData>
  <mergeCells count="2">
    <mergeCell ref="B2:L2"/>
    <mergeCell ref="B3:L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2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4" min="3" style="0" width="11"/>
    <col collapsed="false" customWidth="true" hidden="false" outlineLevel="0" max="7" min="5" style="0" width="10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26"/>
  </cols>
  <sheetData>
    <row r="2" customFormat="false" ht="30" hidden="false" customHeight="true" outlineLevel="0" collapsed="false">
      <c r="B2" s="29" t="s">
        <v>138</v>
      </c>
      <c r="C2" s="29"/>
      <c r="D2" s="29"/>
      <c r="E2" s="29"/>
      <c r="F2" s="29"/>
      <c r="G2" s="29"/>
      <c r="H2" s="29"/>
      <c r="I2" s="29"/>
      <c r="J2" s="29"/>
    </row>
    <row r="3" customFormat="false" ht="15.75" hidden="false" customHeight="true" outlineLevel="0" collapsed="false">
      <c r="B3" s="30" t="s">
        <v>139</v>
      </c>
      <c r="C3" s="30"/>
      <c r="D3" s="30"/>
      <c r="E3" s="30"/>
      <c r="F3" s="30"/>
      <c r="G3" s="30"/>
      <c r="H3" s="30"/>
      <c r="I3" s="30"/>
      <c r="J3" s="30"/>
    </row>
    <row r="5" customFormat="false" ht="25.5" hidden="false" customHeight="true" outlineLevel="0" collapsed="false">
      <c r="B5" s="24" t="s">
        <v>140</v>
      </c>
      <c r="C5" s="24" t="s">
        <v>141</v>
      </c>
      <c r="D5" s="24" t="s">
        <v>142</v>
      </c>
      <c r="E5" s="24" t="s">
        <v>143</v>
      </c>
      <c r="F5" s="24" t="s">
        <v>53</v>
      </c>
      <c r="G5" s="24" t="s">
        <v>144</v>
      </c>
      <c r="H5" s="24" t="s">
        <v>145</v>
      </c>
      <c r="I5" s="24" t="s">
        <v>146</v>
      </c>
      <c r="J5" s="24" t="s">
        <v>147</v>
      </c>
    </row>
    <row r="6" customFormat="false" ht="21.75" hidden="false" customHeight="true" outlineLevel="0" collapsed="false">
      <c r="B6" s="31" t="s">
        <v>55</v>
      </c>
      <c r="C6" s="32" t="n">
        <v>38</v>
      </c>
      <c r="D6" s="32" t="n">
        <v>30</v>
      </c>
      <c r="E6" s="33" t="n">
        <v>28</v>
      </c>
      <c r="F6" s="33" t="n">
        <v>38</v>
      </c>
      <c r="G6" s="33" t="n">
        <v>52</v>
      </c>
      <c r="H6" s="34" t="str">
        <f aca="false">IF(C6&lt;=D6,"● On Target",IF(C6&lt;=F6,"● Near","● Off Target"))</f>
        <v>● Near</v>
      </c>
      <c r="I6" s="35" t="s">
        <v>148</v>
      </c>
      <c r="J6" s="36" t="s">
        <v>149</v>
      </c>
    </row>
    <row r="7" customFormat="false" ht="21.75" hidden="false" customHeight="true" outlineLevel="0" collapsed="false">
      <c r="B7" s="31" t="s">
        <v>61</v>
      </c>
      <c r="C7" s="37" t="n">
        <v>84</v>
      </c>
      <c r="D7" s="37" t="n">
        <v>92</v>
      </c>
      <c r="E7" s="38" t="n">
        <v>95</v>
      </c>
      <c r="F7" s="38" t="n">
        <v>85</v>
      </c>
      <c r="G7" s="38" t="n">
        <v>70</v>
      </c>
      <c r="H7" s="34" t="str">
        <f aca="false">IF(C7&gt;=D7,"● On Target",IF(C7&gt;=F7,"● Near","● Off Target"))</f>
        <v>● Off Target</v>
      </c>
      <c r="I7" s="35" t="s">
        <v>148</v>
      </c>
      <c r="J7" s="36" t="s">
        <v>150</v>
      </c>
    </row>
    <row r="8" customFormat="false" ht="21.75" hidden="false" customHeight="true" outlineLevel="0" collapsed="false">
      <c r="B8" s="31" t="s">
        <v>67</v>
      </c>
      <c r="C8" s="32" t="n">
        <v>34</v>
      </c>
      <c r="D8" s="32" t="n">
        <v>22</v>
      </c>
      <c r="E8" s="33" t="n">
        <v>18</v>
      </c>
      <c r="F8" s="33" t="n">
        <v>30</v>
      </c>
      <c r="G8" s="33" t="n">
        <v>48</v>
      </c>
      <c r="H8" s="34" t="str">
        <f aca="false">IF(C8&lt;=D8,"● On Target",IF(C8&lt;=F8,"● Near","● Off Target"))</f>
        <v>● Off Target</v>
      </c>
      <c r="I8" s="35" t="s">
        <v>148</v>
      </c>
      <c r="J8" s="36" t="s">
        <v>151</v>
      </c>
    </row>
    <row r="9" customFormat="false" ht="21.75" hidden="false" customHeight="true" outlineLevel="0" collapsed="false">
      <c r="B9" s="31" t="s">
        <v>58</v>
      </c>
      <c r="C9" s="32" t="n">
        <v>18</v>
      </c>
      <c r="D9" s="32" t="n">
        <v>10</v>
      </c>
      <c r="E9" s="33" t="n">
        <v>7</v>
      </c>
      <c r="F9" s="33" t="n">
        <v>14</v>
      </c>
      <c r="G9" s="33" t="n">
        <v>25</v>
      </c>
      <c r="H9" s="34" t="str">
        <f aca="false">IF(C9&lt;=D9,"● On Target",IF(C9&lt;=F9,"● Near","● Off Target"))</f>
        <v>● Off Target</v>
      </c>
      <c r="I9" s="35" t="s">
        <v>148</v>
      </c>
      <c r="J9" s="36" t="s">
        <v>152</v>
      </c>
    </row>
    <row r="10" customFormat="false" ht="21.75" hidden="false" customHeight="true" outlineLevel="0" collapsed="false">
      <c r="B10" s="31" t="s">
        <v>76</v>
      </c>
      <c r="C10" s="37" t="n">
        <v>78</v>
      </c>
      <c r="D10" s="37" t="n">
        <v>90</v>
      </c>
      <c r="E10" s="38" t="n">
        <v>95</v>
      </c>
      <c r="F10" s="38" t="n">
        <v>82</v>
      </c>
      <c r="G10" s="38" t="n">
        <v>65</v>
      </c>
      <c r="H10" s="34" t="str">
        <f aca="false">IF(C10&gt;=D10,"● On Target",IF(C10&gt;=F10,"● Near","● Off Target"))</f>
        <v>● Off Target</v>
      </c>
      <c r="I10" s="35" t="s">
        <v>153</v>
      </c>
      <c r="J10" s="36" t="s">
        <v>154</v>
      </c>
    </row>
    <row r="11" customFormat="false" ht="21.75" hidden="false" customHeight="true" outlineLevel="0" collapsed="false">
      <c r="B11" s="31" t="s">
        <v>73</v>
      </c>
      <c r="C11" s="37" t="n">
        <v>1.8</v>
      </c>
      <c r="D11" s="37" t="n">
        <v>0.8</v>
      </c>
      <c r="E11" s="38" t="n">
        <v>0.5</v>
      </c>
      <c r="F11" s="38" t="n">
        <v>1.5</v>
      </c>
      <c r="G11" s="38" t="n">
        <v>3.5</v>
      </c>
      <c r="H11" s="34" t="str">
        <f aca="false">IF(C11&lt;=D11,"● On Target",IF(C11&lt;=F11,"● Near","● Off Target"))</f>
        <v>● Off Target</v>
      </c>
      <c r="I11" s="35" t="s">
        <v>155</v>
      </c>
      <c r="J11" s="36" t="s">
        <v>156</v>
      </c>
    </row>
    <row r="12" customFormat="false" ht="21.75" hidden="false" customHeight="true" outlineLevel="0" collapsed="false">
      <c r="B12" s="31" t="s">
        <v>157</v>
      </c>
      <c r="C12" s="32" t="n">
        <v>8.5</v>
      </c>
      <c r="D12" s="32" t="n">
        <v>12</v>
      </c>
      <c r="E12" s="33" t="n">
        <v>12.5</v>
      </c>
      <c r="F12" s="33" t="n">
        <v>9.6</v>
      </c>
      <c r="G12" s="33" t="n">
        <v>6.8</v>
      </c>
      <c r="H12" s="34" t="str">
        <f aca="false">IF(C12&gt;=D12,"● On Target",IF(C12&gt;=F12,"● Near","● Off Target"))</f>
        <v>● Off Target</v>
      </c>
      <c r="I12" s="35" t="s">
        <v>148</v>
      </c>
      <c r="J12" s="36" t="s">
        <v>158</v>
      </c>
    </row>
    <row r="13" customFormat="false" ht="21.75" hidden="false" customHeight="true" outlineLevel="0" collapsed="false">
      <c r="B13" s="31" t="s">
        <v>82</v>
      </c>
      <c r="C13" s="39" t="n">
        <v>0.8</v>
      </c>
      <c r="D13" s="39" t="n">
        <v>0.5</v>
      </c>
      <c r="E13" s="40" t="n">
        <v>0.3</v>
      </c>
      <c r="F13" s="40" t="n">
        <v>0.8</v>
      </c>
      <c r="G13" s="40" t="n">
        <v>1.8</v>
      </c>
      <c r="H13" s="34" t="str">
        <f aca="false">IF(C13&lt;=D13,"● On Target",IF(C13&lt;=F13,"● Near","● Off Target"))</f>
        <v>● Near</v>
      </c>
      <c r="I13" s="35" t="s">
        <v>159</v>
      </c>
      <c r="J13" s="36" t="s">
        <v>160</v>
      </c>
    </row>
    <row r="15" customFormat="false" ht="15" hidden="false" customHeight="false" outlineLevel="0" collapsed="false">
      <c r="B15" s="41" t="s">
        <v>161</v>
      </c>
    </row>
  </sheetData>
  <mergeCells count="2">
    <mergeCell ref="B2:J2"/>
    <mergeCell ref="B3:J3"/>
  </mergeCells>
  <conditionalFormatting sqref="H6:H13">
    <cfRule type="expression" priority="2" aboveAverage="0" equalAverage="0" bottom="0" percent="0" rank="0" text="" dxfId="0">
      <formula>ISNUMBER(SEARCH("On Target",H6))</formula>
    </cfRule>
    <cfRule type="expression" priority="3" aboveAverage="0" equalAverage="0" bottom="0" percent="0" rank="0" text="" dxfId="1">
      <formula>ISNUMBER(SEARCH("Near",H6))</formula>
    </cfRule>
    <cfRule type="expression" priority="4" aboveAverage="0" equalAverage="0" bottom="0" percent="0" rank="0" text="" dxfId="2">
      <formula>ISNUMBER(SEARCH("Off Target",H6))</formula>
    </cfRule>
  </conditionalFormatting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2"/>
    <col collapsed="false" customWidth="true" hidden="false" outlineLevel="0" max="6" min="6" style="0" width="14"/>
  </cols>
  <sheetData>
    <row r="2" customFormat="false" ht="30" hidden="false" customHeight="true" outlineLevel="0" collapsed="false">
      <c r="B2" s="17" t="s">
        <v>162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163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49</v>
      </c>
      <c r="C5" s="24" t="s">
        <v>143</v>
      </c>
      <c r="D5" s="24" t="s">
        <v>53</v>
      </c>
      <c r="E5" s="24" t="s">
        <v>144</v>
      </c>
      <c r="F5" s="24" t="s">
        <v>164</v>
      </c>
    </row>
    <row r="6" customFormat="false" ht="27.75" hidden="false" customHeight="true" outlineLevel="0" collapsed="false">
      <c r="B6" s="25" t="s">
        <v>55</v>
      </c>
      <c r="C6" s="26" t="n">
        <v>28</v>
      </c>
      <c r="D6" s="26" t="n">
        <v>38</v>
      </c>
      <c r="E6" s="26" t="n">
        <v>52</v>
      </c>
      <c r="F6" s="26" t="s">
        <v>165</v>
      </c>
    </row>
    <row r="7" customFormat="false" ht="27.75" hidden="false" customHeight="true" outlineLevel="0" collapsed="false">
      <c r="B7" s="27" t="s">
        <v>61</v>
      </c>
      <c r="C7" s="28" t="n">
        <v>95</v>
      </c>
      <c r="D7" s="28" t="n">
        <v>85</v>
      </c>
      <c r="E7" s="28" t="n">
        <v>70</v>
      </c>
      <c r="F7" s="28" t="s">
        <v>166</v>
      </c>
    </row>
    <row r="8" customFormat="false" ht="27.75" hidden="false" customHeight="true" outlineLevel="0" collapsed="false">
      <c r="B8" s="25" t="s">
        <v>67</v>
      </c>
      <c r="C8" s="26" t="n">
        <v>18</v>
      </c>
      <c r="D8" s="26" t="n">
        <v>30</v>
      </c>
      <c r="E8" s="26" t="n">
        <v>48</v>
      </c>
      <c r="F8" s="26" t="s">
        <v>166</v>
      </c>
    </row>
    <row r="9" customFormat="false" ht="27.75" hidden="false" customHeight="true" outlineLevel="0" collapsed="false">
      <c r="B9" s="27" t="s">
        <v>58</v>
      </c>
      <c r="C9" s="28" t="n">
        <v>7</v>
      </c>
      <c r="D9" s="28" t="n">
        <v>14</v>
      </c>
      <c r="E9" s="28" t="n">
        <v>25</v>
      </c>
      <c r="F9" s="28" t="s">
        <v>165</v>
      </c>
    </row>
    <row r="10" customFormat="false" ht="27.75" hidden="false" customHeight="true" outlineLevel="0" collapsed="false">
      <c r="B10" s="25" t="s">
        <v>76</v>
      </c>
      <c r="C10" s="26" t="n">
        <v>95</v>
      </c>
      <c r="D10" s="26" t="n">
        <v>82</v>
      </c>
      <c r="E10" s="26" t="n">
        <v>65</v>
      </c>
      <c r="F10" s="26" t="s">
        <v>165</v>
      </c>
    </row>
    <row r="11" customFormat="false" ht="27.75" hidden="false" customHeight="true" outlineLevel="0" collapsed="false">
      <c r="B11" s="27" t="s">
        <v>73</v>
      </c>
      <c r="C11" s="28" t="n">
        <v>0.5</v>
      </c>
      <c r="D11" s="28" t="n">
        <v>1.5</v>
      </c>
      <c r="E11" s="28" t="n">
        <v>3.5</v>
      </c>
      <c r="F11" s="28" t="s">
        <v>166</v>
      </c>
    </row>
    <row r="12" customFormat="false" ht="27.75" hidden="false" customHeight="true" outlineLevel="0" collapsed="false">
      <c r="B12" s="25" t="s">
        <v>70</v>
      </c>
      <c r="C12" s="26" t="n">
        <v>12.5</v>
      </c>
      <c r="D12" s="26" t="n">
        <v>9.6</v>
      </c>
      <c r="E12" s="26" t="n">
        <v>6.8</v>
      </c>
      <c r="F12" s="26" t="s">
        <v>166</v>
      </c>
    </row>
    <row r="13" customFormat="false" ht="27.75" hidden="false" customHeight="true" outlineLevel="0" collapsed="false">
      <c r="B13" s="27" t="s">
        <v>82</v>
      </c>
      <c r="C13" s="28" t="n">
        <v>0.3</v>
      </c>
      <c r="D13" s="28" t="n">
        <v>0.8</v>
      </c>
      <c r="E13" s="28" t="n">
        <v>1.8</v>
      </c>
      <c r="F13" s="28" t="s">
        <v>165</v>
      </c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89</v>
      </c>
      <c r="B1" s="0" t="s">
        <v>145</v>
      </c>
      <c r="C1" s="0" t="s">
        <v>167</v>
      </c>
    </row>
    <row r="2" customFormat="false" ht="15" hidden="false" customHeight="false" outlineLevel="0" collapsed="false">
      <c r="A2" s="0" t="s">
        <v>168</v>
      </c>
      <c r="B2" s="0" t="s">
        <v>169</v>
      </c>
      <c r="C2" s="0" t="s">
        <v>170</v>
      </c>
    </row>
    <row r="3" customFormat="false" ht="15" hidden="false" customHeight="false" outlineLevel="0" collapsed="false">
      <c r="A3" s="0" t="s">
        <v>93</v>
      </c>
      <c r="B3" s="0" t="s">
        <v>171</v>
      </c>
      <c r="C3" s="0" t="s">
        <v>172</v>
      </c>
    </row>
    <row r="4" customFormat="false" ht="15" hidden="false" customHeight="false" outlineLevel="0" collapsed="false">
      <c r="A4" s="0" t="s">
        <v>103</v>
      </c>
      <c r="B4" s="0" t="s">
        <v>173</v>
      </c>
      <c r="C4" s="0" t="s">
        <v>174</v>
      </c>
    </row>
    <row r="5" customFormat="false" ht="15" hidden="false" customHeight="false" outlineLevel="0" collapsed="false">
      <c r="A5" s="0" t="s">
        <v>110</v>
      </c>
      <c r="B5" s="0" t="s">
        <v>175</v>
      </c>
      <c r="C5" s="0" t="s">
        <v>176</v>
      </c>
    </row>
    <row r="6" customFormat="false" ht="15" hidden="false" customHeight="false" outlineLevel="0" collapsed="false">
      <c r="C6" s="0" t="s">
        <v>177</v>
      </c>
    </row>
  </sheetData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2026-05-26T06:45:02Z</dcterms:created>
  <dc:creator>openpyxl</dc:creator>
  <dc:description/>
  <dc:language>en-US</dc:language>
  <cp:lastModifiedBy/>
  <dcterms:modified xsi:type="dcterms:W3CDTF">2026-05-26T06:45:02Z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